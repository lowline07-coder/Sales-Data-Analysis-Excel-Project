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8_{B6684E79-5BE4-4AB5-9688-BEEAE0C52A2A}" xr6:coauthVersionLast="47" xr6:coauthVersionMax="47" xr10:uidLastSave="{00000000-0000-0000-0000-000000000000}"/>
  <bookViews>
    <workbookView xWindow="-108" yWindow="-108" windowWidth="23256" windowHeight="12456" firstSheet="1" activeTab="5" xr2:uid="{00000000-000D-0000-FFFF-FFFF00000000}"/>
  </bookViews>
  <sheets>
    <sheet name="Project Instructions" sheetId="1" r:id="rId1"/>
    <sheet name="pivot_table" sheetId="7" r:id="rId2"/>
    <sheet name="filter" sheetId="3" r:id="rId3"/>
    <sheet name="dataset" sheetId="2" r:id="rId4"/>
    <sheet name="linear regression" sheetId="11" r:id="rId5"/>
    <sheet name="dashboard" sheetId="9" r:id="rId6"/>
    <sheet name="date_time" sheetId="4" r:id="rId7"/>
    <sheet name="what if analysis" sheetId="10" r:id="rId8"/>
    <sheet name="total quantity" sheetId="5" r:id="rId9"/>
  </sheets>
  <externalReferences>
    <externalReference r:id="rId10"/>
  </externalReferences>
  <definedNames>
    <definedName name="Slicer_Category">#N/A</definedName>
    <definedName name="Slicer_Product_Name">#N/A</definedName>
  </definedNames>
  <calcPr calcId="191029" iterate="1" iterateCount="1"/>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0" l="1"/>
  <c r="C8" i="10" s="1"/>
  <c r="O2" i="9"/>
  <c r="K2" i="9"/>
  <c r="G2" i="9"/>
  <c r="B2" i="9"/>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 i="5"/>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C251" i="4"/>
  <c r="B251" i="4"/>
  <c r="A251" i="4"/>
  <c r="C250" i="4"/>
  <c r="B250" i="4"/>
  <c r="A250" i="4"/>
  <c r="C249" i="4"/>
  <c r="B249" i="4"/>
  <c r="A249" i="4"/>
  <c r="C248" i="4"/>
  <c r="B248" i="4"/>
  <c r="A248" i="4"/>
  <c r="C247" i="4"/>
  <c r="B247" i="4"/>
  <c r="A247" i="4"/>
  <c r="C246" i="4"/>
  <c r="B246" i="4"/>
  <c r="A246" i="4"/>
  <c r="C245" i="4"/>
  <c r="B245" i="4"/>
  <c r="A245" i="4"/>
  <c r="C244" i="4"/>
  <c r="B244" i="4"/>
  <c r="A244" i="4"/>
  <c r="C243" i="4"/>
  <c r="B243" i="4"/>
  <c r="A243" i="4"/>
  <c r="C242" i="4"/>
  <c r="B242" i="4"/>
  <c r="A242" i="4"/>
  <c r="C241" i="4"/>
  <c r="B241" i="4"/>
  <c r="A241" i="4"/>
  <c r="C240" i="4"/>
  <c r="B240" i="4"/>
  <c r="A240" i="4"/>
  <c r="C239" i="4"/>
  <c r="B239" i="4"/>
  <c r="A239" i="4"/>
  <c r="C238" i="4"/>
  <c r="B238" i="4"/>
  <c r="A238" i="4"/>
  <c r="C237" i="4"/>
  <c r="B237" i="4"/>
  <c r="A237" i="4"/>
  <c r="C236" i="4"/>
  <c r="B236" i="4"/>
  <c r="A236" i="4"/>
  <c r="C235" i="4"/>
  <c r="B235" i="4"/>
  <c r="A235" i="4"/>
  <c r="C234" i="4"/>
  <c r="B234" i="4"/>
  <c r="A234" i="4"/>
  <c r="C233" i="4"/>
  <c r="B233" i="4"/>
  <c r="A233" i="4"/>
  <c r="C232" i="4"/>
  <c r="B232" i="4"/>
  <c r="A232" i="4"/>
  <c r="C231" i="4"/>
  <c r="B231" i="4"/>
  <c r="A231" i="4"/>
  <c r="C230" i="4"/>
  <c r="B230" i="4"/>
  <c r="A230" i="4"/>
  <c r="C229" i="4"/>
  <c r="B229" i="4"/>
  <c r="A229" i="4"/>
  <c r="C228" i="4"/>
  <c r="B228" i="4"/>
  <c r="A228" i="4"/>
  <c r="C227" i="4"/>
  <c r="B227" i="4"/>
  <c r="A227" i="4"/>
  <c r="C226" i="4"/>
  <c r="B226" i="4"/>
  <c r="A226" i="4"/>
  <c r="C225" i="4"/>
  <c r="B225" i="4"/>
  <c r="A225" i="4"/>
  <c r="C224" i="4"/>
  <c r="B224" i="4"/>
  <c r="A224" i="4"/>
  <c r="C223" i="4"/>
  <c r="B223" i="4"/>
  <c r="A223" i="4"/>
  <c r="C222" i="4"/>
  <c r="B222" i="4"/>
  <c r="A222" i="4"/>
  <c r="C221" i="4"/>
  <c r="B221" i="4"/>
  <c r="A221" i="4"/>
  <c r="C220" i="4"/>
  <c r="B220" i="4"/>
  <c r="A220" i="4"/>
  <c r="C219" i="4"/>
  <c r="B219" i="4"/>
  <c r="A219" i="4"/>
  <c r="C218" i="4"/>
  <c r="B218" i="4"/>
  <c r="A218" i="4"/>
  <c r="C217" i="4"/>
  <c r="B217" i="4"/>
  <c r="A217" i="4"/>
  <c r="C216" i="4"/>
  <c r="B216" i="4"/>
  <c r="A216" i="4"/>
  <c r="C215" i="4"/>
  <c r="B215" i="4"/>
  <c r="A215" i="4"/>
  <c r="C214" i="4"/>
  <c r="B214" i="4"/>
  <c r="A214" i="4"/>
  <c r="C213" i="4"/>
  <c r="B213" i="4"/>
  <c r="A213" i="4"/>
  <c r="C212" i="4"/>
  <c r="B212" i="4"/>
  <c r="A212" i="4"/>
  <c r="C211" i="4"/>
  <c r="B211" i="4"/>
  <c r="A211" i="4"/>
  <c r="C210" i="4"/>
  <c r="B210" i="4"/>
  <c r="A210" i="4"/>
  <c r="C209" i="4"/>
  <c r="B209" i="4"/>
  <c r="A209" i="4"/>
  <c r="C208" i="4"/>
  <c r="B208" i="4"/>
  <c r="A208" i="4"/>
  <c r="C207" i="4"/>
  <c r="B207" i="4"/>
  <c r="A207" i="4"/>
  <c r="C206" i="4"/>
  <c r="B206" i="4"/>
  <c r="A206" i="4"/>
  <c r="C205" i="4"/>
  <c r="B205" i="4"/>
  <c r="A205" i="4"/>
  <c r="C204" i="4"/>
  <c r="B204" i="4"/>
  <c r="A204" i="4"/>
  <c r="C203" i="4"/>
  <c r="B203" i="4"/>
  <c r="A203" i="4"/>
  <c r="C202" i="4"/>
  <c r="B202" i="4"/>
  <c r="A202" i="4"/>
  <c r="C201" i="4"/>
  <c r="B201" i="4"/>
  <c r="A201" i="4"/>
  <c r="C200" i="4"/>
  <c r="B200" i="4"/>
  <c r="A200" i="4"/>
  <c r="C199" i="4"/>
  <c r="B199" i="4"/>
  <c r="A199" i="4"/>
  <c r="C198" i="4"/>
  <c r="B198" i="4"/>
  <c r="A198" i="4"/>
  <c r="C197" i="4"/>
  <c r="B197" i="4"/>
  <c r="A197" i="4"/>
  <c r="C196" i="4"/>
  <c r="B196" i="4"/>
  <c r="A196" i="4"/>
  <c r="C195" i="4"/>
  <c r="B195" i="4"/>
  <c r="A195" i="4"/>
  <c r="C194" i="4"/>
  <c r="B194" i="4"/>
  <c r="A194" i="4"/>
  <c r="C193" i="4"/>
  <c r="B193" i="4"/>
  <c r="A193" i="4"/>
  <c r="C192" i="4"/>
  <c r="B192" i="4"/>
  <c r="A192" i="4"/>
  <c r="C191" i="4"/>
  <c r="B191" i="4"/>
  <c r="A191" i="4"/>
  <c r="C190" i="4"/>
  <c r="B190" i="4"/>
  <c r="A190" i="4"/>
  <c r="C189" i="4"/>
  <c r="B189" i="4"/>
  <c r="A189" i="4"/>
  <c r="C188" i="4"/>
  <c r="B188" i="4"/>
  <c r="A188" i="4"/>
  <c r="C187" i="4"/>
  <c r="B187" i="4"/>
  <c r="A187" i="4"/>
  <c r="C186" i="4"/>
  <c r="B186" i="4"/>
  <c r="A186" i="4"/>
  <c r="C185" i="4"/>
  <c r="B185" i="4"/>
  <c r="A185" i="4"/>
  <c r="C184" i="4"/>
  <c r="B184" i="4"/>
  <c r="A184" i="4"/>
  <c r="C183" i="4"/>
  <c r="B183" i="4"/>
  <c r="A183" i="4"/>
  <c r="C182" i="4"/>
  <c r="B182" i="4"/>
  <c r="A182" i="4"/>
  <c r="C181" i="4"/>
  <c r="B181" i="4"/>
  <c r="A181" i="4"/>
  <c r="C180" i="4"/>
  <c r="B180" i="4"/>
  <c r="A180" i="4"/>
  <c r="C179" i="4"/>
  <c r="B179" i="4"/>
  <c r="A179" i="4"/>
  <c r="C178" i="4"/>
  <c r="B178" i="4"/>
  <c r="A178" i="4"/>
  <c r="C177" i="4"/>
  <c r="B177" i="4"/>
  <c r="A177" i="4"/>
  <c r="C176" i="4"/>
  <c r="B176" i="4"/>
  <c r="A176" i="4"/>
  <c r="C175" i="4"/>
  <c r="B175" i="4"/>
  <c r="A175" i="4"/>
  <c r="C174" i="4"/>
  <c r="B174" i="4"/>
  <c r="A174" i="4"/>
  <c r="C173" i="4"/>
  <c r="B173" i="4"/>
  <c r="A173" i="4"/>
  <c r="C172" i="4"/>
  <c r="B172" i="4"/>
  <c r="A172" i="4"/>
  <c r="C171" i="4"/>
  <c r="B171" i="4"/>
  <c r="A171" i="4"/>
  <c r="C170" i="4"/>
  <c r="B170" i="4"/>
  <c r="A170" i="4"/>
  <c r="C169" i="4"/>
  <c r="B169" i="4"/>
  <c r="A169" i="4"/>
  <c r="C168" i="4"/>
  <c r="B168" i="4"/>
  <c r="A168" i="4"/>
  <c r="C167" i="4"/>
  <c r="B167" i="4"/>
  <c r="A167" i="4"/>
  <c r="C166" i="4"/>
  <c r="B166" i="4"/>
  <c r="A166" i="4"/>
  <c r="C165" i="4"/>
  <c r="B165" i="4"/>
  <c r="A165" i="4"/>
  <c r="C164" i="4"/>
  <c r="B164" i="4"/>
  <c r="A164" i="4"/>
  <c r="C163" i="4"/>
  <c r="B163" i="4"/>
  <c r="A163" i="4"/>
  <c r="C162" i="4"/>
  <c r="B162" i="4"/>
  <c r="A162" i="4"/>
  <c r="C161" i="4"/>
  <c r="B161" i="4"/>
  <c r="A161" i="4"/>
  <c r="C160" i="4"/>
  <c r="B160" i="4"/>
  <c r="A160" i="4"/>
  <c r="C159" i="4"/>
  <c r="B159" i="4"/>
  <c r="A159" i="4"/>
  <c r="C158" i="4"/>
  <c r="B158" i="4"/>
  <c r="A158" i="4"/>
  <c r="C157" i="4"/>
  <c r="B157" i="4"/>
  <c r="A157" i="4"/>
  <c r="C156" i="4"/>
  <c r="B156" i="4"/>
  <c r="A156" i="4"/>
  <c r="C155" i="4"/>
  <c r="B155" i="4"/>
  <c r="A155" i="4"/>
  <c r="C154" i="4"/>
  <c r="B154" i="4"/>
  <c r="A154" i="4"/>
  <c r="C153" i="4"/>
  <c r="B153" i="4"/>
  <c r="A153" i="4"/>
  <c r="C152" i="4"/>
  <c r="B152" i="4"/>
  <c r="A152" i="4"/>
  <c r="C151" i="4"/>
  <c r="B151" i="4"/>
  <c r="A151" i="4"/>
  <c r="C150" i="4"/>
  <c r="B150" i="4"/>
  <c r="A150" i="4"/>
  <c r="C149" i="4"/>
  <c r="B149" i="4"/>
  <c r="A149" i="4"/>
  <c r="C148" i="4"/>
  <c r="B148" i="4"/>
  <c r="A148" i="4"/>
  <c r="C147" i="4"/>
  <c r="B147" i="4"/>
  <c r="A147" i="4"/>
  <c r="C146" i="4"/>
  <c r="B146" i="4"/>
  <c r="A146" i="4"/>
  <c r="C145" i="4"/>
  <c r="B145" i="4"/>
  <c r="A145" i="4"/>
  <c r="C144" i="4"/>
  <c r="B144" i="4"/>
  <c r="A144" i="4"/>
  <c r="C143" i="4"/>
  <c r="B143" i="4"/>
  <c r="A143" i="4"/>
  <c r="C142" i="4"/>
  <c r="B142" i="4"/>
  <c r="A142" i="4"/>
  <c r="C141" i="4"/>
  <c r="B141" i="4"/>
  <c r="A141" i="4"/>
  <c r="C140" i="4"/>
  <c r="B140" i="4"/>
  <c r="A140" i="4"/>
  <c r="C139" i="4"/>
  <c r="B139" i="4"/>
  <c r="A139" i="4"/>
  <c r="C138" i="4"/>
  <c r="B138" i="4"/>
  <c r="A138" i="4"/>
  <c r="C137" i="4"/>
  <c r="B137" i="4"/>
  <c r="A137" i="4"/>
  <c r="C136" i="4"/>
  <c r="B136" i="4"/>
  <c r="A136" i="4"/>
  <c r="C135" i="4"/>
  <c r="B135" i="4"/>
  <c r="A135" i="4"/>
  <c r="C134" i="4"/>
  <c r="B134" i="4"/>
  <c r="A134" i="4"/>
  <c r="C133" i="4"/>
  <c r="B133" i="4"/>
  <c r="A133" i="4"/>
  <c r="C132" i="4"/>
  <c r="B132" i="4"/>
  <c r="A132" i="4"/>
  <c r="C131" i="4"/>
  <c r="B131" i="4"/>
  <c r="A131" i="4"/>
  <c r="C130" i="4"/>
  <c r="B130" i="4"/>
  <c r="A130" i="4"/>
  <c r="C129" i="4"/>
  <c r="B129" i="4"/>
  <c r="A129" i="4"/>
  <c r="C128" i="4"/>
  <c r="B128" i="4"/>
  <c r="A128" i="4"/>
  <c r="C127" i="4"/>
  <c r="B127" i="4"/>
  <c r="A127" i="4"/>
  <c r="C126" i="4"/>
  <c r="B126" i="4"/>
  <c r="A126" i="4"/>
  <c r="C125" i="4"/>
  <c r="B125" i="4"/>
  <c r="A125" i="4"/>
  <c r="C124" i="4"/>
  <c r="B124" i="4"/>
  <c r="A124" i="4"/>
  <c r="C123" i="4"/>
  <c r="B123" i="4"/>
  <c r="A123" i="4"/>
  <c r="C122" i="4"/>
  <c r="B122" i="4"/>
  <c r="A122" i="4"/>
  <c r="C121" i="4"/>
  <c r="B121" i="4"/>
  <c r="A121" i="4"/>
  <c r="C120" i="4"/>
  <c r="B120" i="4"/>
  <c r="A120" i="4"/>
  <c r="C119" i="4"/>
  <c r="B119" i="4"/>
  <c r="A119" i="4"/>
  <c r="C118" i="4"/>
  <c r="B118" i="4"/>
  <c r="A118" i="4"/>
  <c r="C117" i="4"/>
  <c r="B117" i="4"/>
  <c r="A117" i="4"/>
  <c r="C116" i="4"/>
  <c r="B116" i="4"/>
  <c r="A116" i="4"/>
  <c r="C115" i="4"/>
  <c r="B115" i="4"/>
  <c r="A115" i="4"/>
  <c r="C114" i="4"/>
  <c r="B114" i="4"/>
  <c r="A114" i="4"/>
  <c r="C113" i="4"/>
  <c r="B113" i="4"/>
  <c r="A113" i="4"/>
  <c r="C112" i="4"/>
  <c r="B112" i="4"/>
  <c r="A112" i="4"/>
  <c r="C111" i="4"/>
  <c r="B111" i="4"/>
  <c r="A111" i="4"/>
  <c r="C110" i="4"/>
  <c r="B110" i="4"/>
  <c r="A110" i="4"/>
  <c r="C109" i="4"/>
  <c r="B109" i="4"/>
  <c r="A109" i="4"/>
  <c r="C108" i="4"/>
  <c r="B108" i="4"/>
  <c r="A108" i="4"/>
  <c r="C107" i="4"/>
  <c r="B107" i="4"/>
  <c r="A107" i="4"/>
  <c r="C106" i="4"/>
  <c r="B106" i="4"/>
  <c r="A106" i="4"/>
  <c r="C105" i="4"/>
  <c r="B105" i="4"/>
  <c r="A105" i="4"/>
  <c r="C104" i="4"/>
  <c r="B104" i="4"/>
  <c r="A104" i="4"/>
  <c r="C103" i="4"/>
  <c r="B103" i="4"/>
  <c r="A103" i="4"/>
  <c r="C102" i="4"/>
  <c r="B102" i="4"/>
  <c r="A102" i="4"/>
  <c r="C101" i="4"/>
  <c r="B101" i="4"/>
  <c r="A101" i="4"/>
  <c r="C100" i="4"/>
  <c r="B100" i="4"/>
  <c r="A100" i="4"/>
  <c r="C99" i="4"/>
  <c r="B99" i="4"/>
  <c r="A99" i="4"/>
  <c r="C98" i="4"/>
  <c r="B98" i="4"/>
  <c r="A98" i="4"/>
  <c r="C97" i="4"/>
  <c r="B97" i="4"/>
  <c r="A97" i="4"/>
  <c r="C96" i="4"/>
  <c r="B96" i="4"/>
  <c r="A96" i="4"/>
  <c r="C95" i="4"/>
  <c r="B95" i="4"/>
  <c r="A95" i="4"/>
  <c r="C94" i="4"/>
  <c r="B94" i="4"/>
  <c r="A94" i="4"/>
  <c r="C93" i="4"/>
  <c r="B93" i="4"/>
  <c r="A93" i="4"/>
  <c r="C92" i="4"/>
  <c r="B92" i="4"/>
  <c r="A92" i="4"/>
  <c r="C91" i="4"/>
  <c r="B91" i="4"/>
  <c r="A91" i="4"/>
  <c r="C90" i="4"/>
  <c r="B90" i="4"/>
  <c r="A90" i="4"/>
  <c r="C89" i="4"/>
  <c r="B89" i="4"/>
  <c r="A89" i="4"/>
  <c r="C88" i="4"/>
  <c r="B88" i="4"/>
  <c r="A88" i="4"/>
  <c r="C87" i="4"/>
  <c r="B87" i="4"/>
  <c r="A87" i="4"/>
  <c r="C86" i="4"/>
  <c r="B86" i="4"/>
  <c r="A86" i="4"/>
  <c r="C85" i="4"/>
  <c r="B85" i="4"/>
  <c r="A85" i="4"/>
  <c r="C84" i="4"/>
  <c r="B84" i="4"/>
  <c r="A84" i="4"/>
  <c r="C83" i="4"/>
  <c r="B83" i="4"/>
  <c r="A83" i="4"/>
  <c r="C82" i="4"/>
  <c r="B82" i="4"/>
  <c r="A82" i="4"/>
  <c r="C81" i="4"/>
  <c r="B81" i="4"/>
  <c r="A81" i="4"/>
  <c r="C80" i="4"/>
  <c r="B80" i="4"/>
  <c r="A80" i="4"/>
  <c r="C79" i="4"/>
  <c r="B79" i="4"/>
  <c r="A79" i="4"/>
  <c r="C78" i="4"/>
  <c r="B78" i="4"/>
  <c r="A78" i="4"/>
  <c r="C77" i="4"/>
  <c r="B77" i="4"/>
  <c r="A77" i="4"/>
  <c r="C76" i="4"/>
  <c r="B76" i="4"/>
  <c r="A76" i="4"/>
  <c r="C75" i="4"/>
  <c r="B75" i="4"/>
  <c r="A75" i="4"/>
  <c r="C74" i="4"/>
  <c r="B74" i="4"/>
  <c r="A74" i="4"/>
  <c r="C73" i="4"/>
  <c r="B73" i="4"/>
  <c r="A73" i="4"/>
  <c r="C72" i="4"/>
  <c r="B72" i="4"/>
  <c r="A72" i="4"/>
  <c r="C71" i="4"/>
  <c r="B71" i="4"/>
  <c r="A71" i="4"/>
  <c r="C70" i="4"/>
  <c r="B70" i="4"/>
  <c r="A70" i="4"/>
  <c r="C69" i="4"/>
  <c r="B69" i="4"/>
  <c r="A69" i="4"/>
  <c r="C68" i="4"/>
  <c r="B68" i="4"/>
  <c r="A68" i="4"/>
  <c r="C67" i="4"/>
  <c r="B67" i="4"/>
  <c r="A67" i="4"/>
  <c r="C66" i="4"/>
  <c r="B66" i="4"/>
  <c r="A66" i="4"/>
  <c r="C65" i="4"/>
  <c r="B65" i="4"/>
  <c r="A65" i="4"/>
  <c r="C64" i="4"/>
  <c r="B64" i="4"/>
  <c r="A64" i="4"/>
  <c r="C63" i="4"/>
  <c r="B63" i="4"/>
  <c r="A63" i="4"/>
  <c r="C62" i="4"/>
  <c r="B62" i="4"/>
  <c r="A62" i="4"/>
  <c r="C61" i="4"/>
  <c r="B61" i="4"/>
  <c r="A61" i="4"/>
  <c r="C60" i="4"/>
  <c r="B60" i="4"/>
  <c r="A60" i="4"/>
  <c r="C59" i="4"/>
  <c r="B59" i="4"/>
  <c r="A59" i="4"/>
  <c r="C58" i="4"/>
  <c r="B58" i="4"/>
  <c r="A58" i="4"/>
  <c r="C57" i="4"/>
  <c r="B57" i="4"/>
  <c r="A57" i="4"/>
  <c r="C56" i="4"/>
  <c r="B56" i="4"/>
  <c r="A56" i="4"/>
  <c r="C55" i="4"/>
  <c r="B55" i="4"/>
  <c r="A55" i="4"/>
  <c r="C54" i="4"/>
  <c r="B54" i="4"/>
  <c r="A54" i="4"/>
  <c r="C53" i="4"/>
  <c r="B53" i="4"/>
  <c r="A53" i="4"/>
  <c r="C52" i="4"/>
  <c r="B52" i="4"/>
  <c r="A52" i="4"/>
  <c r="C51" i="4"/>
  <c r="B51" i="4"/>
  <c r="A51" i="4"/>
  <c r="C50" i="4"/>
  <c r="B50" i="4"/>
  <c r="A50" i="4"/>
  <c r="C49" i="4"/>
  <c r="B49" i="4"/>
  <c r="A49" i="4"/>
  <c r="C48" i="4"/>
  <c r="B48" i="4"/>
  <c r="A48" i="4"/>
  <c r="C47" i="4"/>
  <c r="B47" i="4"/>
  <c r="A47" i="4"/>
  <c r="C46" i="4"/>
  <c r="B46" i="4"/>
  <c r="A46" i="4"/>
  <c r="C45" i="4"/>
  <c r="B45" i="4"/>
  <c r="A45" i="4"/>
  <c r="C44" i="4"/>
  <c r="B44" i="4"/>
  <c r="A44" i="4"/>
  <c r="C43" i="4"/>
  <c r="B43" i="4"/>
  <c r="A43" i="4"/>
  <c r="C42" i="4"/>
  <c r="B42" i="4"/>
  <c r="A42" i="4"/>
  <c r="C41" i="4"/>
  <c r="B41" i="4"/>
  <c r="A41" i="4"/>
  <c r="C40" i="4"/>
  <c r="B40" i="4"/>
  <c r="A40" i="4"/>
  <c r="C39" i="4"/>
  <c r="B39" i="4"/>
  <c r="A39" i="4"/>
  <c r="C38" i="4"/>
  <c r="B38" i="4"/>
  <c r="A38" i="4"/>
  <c r="C37" i="4"/>
  <c r="B37" i="4"/>
  <c r="A37" i="4"/>
  <c r="C36" i="4"/>
  <c r="B36" i="4"/>
  <c r="A36" i="4"/>
  <c r="C35" i="4"/>
  <c r="B35" i="4"/>
  <c r="A35" i="4"/>
  <c r="C34" i="4"/>
  <c r="B34" i="4"/>
  <c r="A34" i="4"/>
  <c r="C33" i="4"/>
  <c r="B33" i="4"/>
  <c r="A33" i="4"/>
  <c r="C32" i="4"/>
  <c r="B32" i="4"/>
  <c r="A32" i="4"/>
  <c r="C31" i="4"/>
  <c r="B31" i="4"/>
  <c r="A31" i="4"/>
  <c r="C30" i="4"/>
  <c r="B30" i="4"/>
  <c r="A30" i="4"/>
  <c r="C29" i="4"/>
  <c r="B29" i="4"/>
  <c r="A29" i="4"/>
  <c r="C28" i="4"/>
  <c r="B28" i="4"/>
  <c r="A28" i="4"/>
  <c r="C27" i="4"/>
  <c r="B27" i="4"/>
  <c r="A27" i="4"/>
  <c r="C26" i="4"/>
  <c r="B26" i="4"/>
  <c r="A26" i="4"/>
  <c r="C25" i="4"/>
  <c r="B25" i="4"/>
  <c r="A25" i="4"/>
  <c r="C24" i="4"/>
  <c r="B24" i="4"/>
  <c r="A24" i="4"/>
  <c r="C23" i="4"/>
  <c r="B23" i="4"/>
  <c r="A23" i="4"/>
  <c r="C22" i="4"/>
  <c r="B22" i="4"/>
  <c r="A22" i="4"/>
  <c r="C21" i="4"/>
  <c r="B21" i="4"/>
  <c r="A21" i="4"/>
  <c r="C20" i="4"/>
  <c r="B20" i="4"/>
  <c r="A20" i="4"/>
  <c r="C19" i="4"/>
  <c r="B19" i="4"/>
  <c r="A19" i="4"/>
  <c r="C18" i="4"/>
  <c r="B18" i="4"/>
  <c r="A18" i="4"/>
  <c r="C17" i="4"/>
  <c r="B17" i="4"/>
  <c r="A17" i="4"/>
  <c r="C16" i="4"/>
  <c r="B16" i="4"/>
  <c r="A16" i="4"/>
  <c r="C15" i="4"/>
  <c r="B15" i="4"/>
  <c r="A15" i="4"/>
  <c r="C14" i="4"/>
  <c r="B14" i="4"/>
  <c r="A14" i="4"/>
  <c r="C13" i="4"/>
  <c r="B13" i="4"/>
  <c r="A13" i="4"/>
  <c r="C12" i="4"/>
  <c r="B12" i="4"/>
  <c r="A12" i="4"/>
  <c r="C11" i="4"/>
  <c r="B11" i="4"/>
  <c r="A11" i="4"/>
  <c r="C10" i="4"/>
  <c r="B10" i="4"/>
  <c r="A10" i="4"/>
  <c r="C9" i="4"/>
  <c r="B9" i="4"/>
  <c r="A9" i="4"/>
  <c r="C8" i="4"/>
  <c r="B8" i="4"/>
  <c r="A8" i="4"/>
  <c r="C7" i="4"/>
  <c r="B7" i="4"/>
  <c r="A7" i="4"/>
  <c r="C6" i="4"/>
  <c r="B6" i="4"/>
  <c r="A6" i="4"/>
  <c r="C5" i="4"/>
  <c r="B5" i="4"/>
  <c r="A5" i="4"/>
  <c r="C4" i="4"/>
  <c r="B4" i="4"/>
  <c r="A4" i="4"/>
  <c r="C3" i="4"/>
  <c r="B3" i="4"/>
  <c r="A3" i="4"/>
  <c r="C2" i="4"/>
  <c r="B2" i="4"/>
  <c r="A2" i="4"/>
  <c r="A2" i="3" a="1"/>
  <c r="A2" i="3" s="1"/>
  <c r="C10" i="10" l="1"/>
  <c r="C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<sst xmlns="http://schemas.openxmlformats.org/spreadsheetml/2006/main" count="2633" uniqueCount="461">
  <si>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</si>
  <si>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</si>
  <si>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</si>
  <si>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</si>
  <si>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</si>
  <si>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</si>
  <si>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</si>
  <si>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</si>
  <si>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</si>
  <si>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</si>
  <si>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</si>
  <si>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</si>
  <si>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</si>
  <si>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</si>
  <si>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</si>
  <si>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</si>
  <si>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</si>
  <si>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</si>
  <si>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</si>
  <si>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</si>
  <si>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</si>
  <si>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</si>
  <si>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</si>
  <si>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</si>
  <si>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</si>
  <si>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</si>
  <si>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</si>
  <si>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</si>
  <si>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</si>
  <si>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</si>
  <si>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</si>
  <si>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</si>
  <si>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</si>
  <si>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</si>
  <si>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</si>
  <si>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</si>
  <si>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</si>
  <si>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</si>
  <si>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</si>
  <si>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</si>
  <si>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</si>
  <si>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</si>
  <si>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</si>
  <si>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</si>
  <si>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</si>
  <si>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</si>
  <si>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</si>
  <si>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</si>
  <si>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</si>
  <si>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</si>
  <si>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</si>
  <si>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</si>
  <si>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</si>
  <si>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</si>
  <si>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</si>
  <si>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</si>
  <si>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</si>
  <si>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</si>
  <si>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</si>
  <si>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</si>
  <si>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</si>
  <si>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</si>
  <si>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</si>
  <si>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</si>
  <si>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</si>
  <si>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</si>
  <si>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</si>
  <si>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</si>
  <si>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</si>
  <si>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</si>
  <si>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</si>
  <si>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</si>
  <si>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</si>
  <si>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</si>
  <si>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</si>
  <si>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</si>
  <si>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</si>
  <si>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</si>
  <si>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</si>
  <si>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</si>
  <si>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</si>
  <si>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</si>
  <si>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</si>
  <si>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</si>
  <si>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</si>
  <si>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</si>
  <si>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</si>
  <si>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</si>
  <si>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</si>
  <si>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</si>
  <si>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</si>
  <si>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</si>
  <si>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</si>
  <si>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</si>
  <si>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</si>
  <si>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</si>
  <si>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</si>
  <si>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</si>
  <si>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</si>
  <si>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</si>
  <si>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</si>
  <si>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</si>
  <si>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</si>
  <si>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</si>
  <si>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</si>
  <si>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</si>
  <si>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</si>
  <si>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</si>
  <si>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</si>
  <si>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</si>
  <si>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</si>
  <si>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</si>
  <si>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</si>
  <si>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</si>
  <si>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</si>
  <si>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</si>
  <si>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</si>
  <si>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</si>
  <si>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</si>
  <si>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</si>
  <si>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</si>
  <si>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</si>
  <si>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</si>
  <si>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</si>
  <si>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</si>
  <si>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</si>
  <si>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</si>
  <si>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</si>
  <si>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</si>
  <si>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</si>
  <si>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</si>
  <si>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</si>
  <si>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</si>
  <si>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</si>
  <si>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</si>
  <si>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</si>
  <si>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</si>
  <si>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</si>
  <si>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</si>
  <si>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</si>
  <si>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</si>
  <si>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</si>
  <si>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</si>
  <si>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</si>
  <si>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</si>
  <si>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</si>
  <si>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</si>
  <si>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</si>
  <si>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</si>
  <si>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</si>
  <si>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</si>
  <si>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</si>
  <si>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</si>
  <si>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</si>
  <si>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</si>
  <si>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</si>
  <si>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</si>
  <si>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</si>
  <si>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</si>
  <si>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</si>
  <si>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</si>
  <si>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</si>
  <si>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</si>
  <si>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</si>
  <si>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</si>
  <si>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</si>
  <si>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</si>
  <si>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</si>
  <si>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</si>
  <si>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</si>
  <si>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</si>
  <si>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</si>
  <si>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</si>
  <si>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</si>
  <si>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</si>
  <si>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</si>
  <si>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</si>
  <si>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</si>
  <si>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</si>
  <si>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</si>
  <si>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</si>
  <si>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</si>
  <si>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</si>
  <si>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</si>
  <si>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</si>
  <si>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</si>
  <si>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</si>
  <si>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</si>
  <si>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</si>
  <si>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</si>
  <si>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</si>
  <si>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</si>
  <si>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</si>
  <si>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</si>
  <si>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</si>
  <si>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</si>
  <si>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</si>
  <si>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</si>
  <si>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</si>
  <si>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</si>
  <si>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</si>
  <si>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</si>
  <si>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</si>
  <si>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</si>
  <si>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</si>
  <si>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</si>
  <si>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</si>
  <si>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</si>
  <si>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</si>
  <si>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</si>
  <si>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</si>
  <si>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</si>
  <si>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</si>
  <si>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</si>
  <si>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</si>
  <si>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</si>
  <si>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</si>
  <si>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</si>
  <si>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</si>
  <si>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</si>
  <si>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</si>
  <si>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</si>
  <si>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</si>
  <si>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</si>
  <si>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</si>
  <si>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</si>
  <si>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</si>
  <si>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</si>
  <si>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</si>
  <si>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</si>
  <si>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</si>
  <si>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</si>
  <si>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</si>
  <si>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</si>
  <si>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</si>
  <si>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</si>
  <si>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</si>
  <si>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</si>
  <si>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</si>
  <si>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</si>
  <si>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</si>
  <si>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</si>
  <si>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</si>
  <si>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</si>
  <si>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</si>
  <si>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</si>
  <si>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</si>
  <si>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</si>
  <si>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</si>
  <si>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</si>
  <si>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</si>
  <si>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</si>
  <si>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</si>
  <si>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</si>
  <si>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</si>
  <si>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</si>
  <si>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</si>
  <si>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</si>
  <si>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</si>
  <si>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</si>
  <si>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</si>
  <si>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</si>
  <si>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</si>
  <si>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</si>
  <si>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</si>
  <si>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</si>
  <si>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</si>
  <si>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</si>
  <si>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</si>
  <si>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</si>
  <si>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</si>
  <si>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</si>
  <si>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</si>
  <si>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</si>
  <si>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</si>
  <si>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</si>
  <si>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</si>
  <si>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</si>
  <si>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</si>
  <si>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</si>
  <si>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</si>
  <si>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</si>
  <si>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</si>
  <si>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</si>
  <si>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</si>
  <si>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</si>
  <si>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</si>
  <si>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</si>
  <si>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</si>
  <si>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</si>
  <si>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</si>
  <si>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</si>
  <si>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</si>
  <si>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</si>
  <si>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</si>
  <si>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</si>
  <si>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</si>
  <si>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</si>
  <si>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</si>
  <si>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</si>
  <si>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</si>
  <si>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</si>
  <si>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</si>
  <si>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</si>
  <si>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</si>
  <si>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</si>
  <si>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</si>
  <si>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</si>
  <si>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</si>
  <si>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</si>
  <si>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</si>
  <si>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</si>
  <si>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</si>
  <si>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</si>
  <si>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</si>
  <si>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</si>
  <si>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</si>
  <si>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</si>
  <si>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</si>
  <si>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</si>
  <si>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</si>
  <si>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</si>
  <si>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</si>
  <si>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</si>
  <si>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</si>
  <si>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</si>
  <si>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</si>
  <si>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</si>
  <si>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</si>
  <si>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</si>
  <si>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</si>
  <si>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</si>
  <si>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</si>
  <si>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</si>
  <si>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</si>
  <si>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</si>
  <si>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</si>
  <si>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</si>
  <si>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</si>
  <si>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</si>
  <si>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</si>
  <si>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</si>
  <si>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</si>
  <si>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</si>
  <si>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</si>
  <si>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</si>
  <si>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</si>
  <si>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</si>
  <si>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</si>
  <si>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</si>
  <si>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</si>
  <si>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</si>
  <si>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</si>
  <si>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</si>
  <si>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</si>
  <si>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</si>
  <si>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</si>
  <si>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</si>
  <si>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</si>
  <si>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</si>
  <si>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</si>
  <si>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</si>
  <si>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</si>
  <si>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</si>
  <si>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</si>
  <si>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</si>
  <si>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</si>
  <si>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</si>
  <si>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</si>
  <si>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</si>
  <si>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</si>
  <si>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</si>
  <si>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</si>
  <si>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</si>
  <si>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</si>
  <si>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</si>
  <si>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</si>
  <si>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</si>
  <si>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</si>
  <si>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</si>
  <si>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</si>
  <si>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</si>
  <si>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</si>
  <si>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</si>
  <si>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</si>
  <si>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</si>
  <si>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</si>
  <si>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</si>
  <si>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</si>
  <si>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</si>
  <si>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</si>
  <si>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</si>
  <si>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</si>
  <si>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</si>
  <si>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</si>
  <si>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</si>
  <si>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</si>
  <si>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</si>
  <si>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</si>
  <si>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</si>
  <si>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</si>
  <si>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time stamp</t>
  </si>
  <si>
    <t>year from</t>
  </si>
  <si>
    <t>end of month</t>
  </si>
  <si>
    <t>Column2</t>
  </si>
  <si>
    <t>Column3</t>
  </si>
  <si>
    <t>product quantity</t>
  </si>
  <si>
    <t>cu product</t>
  </si>
  <si>
    <t>Sum of Total_Amount</t>
  </si>
  <si>
    <t>Row Labels</t>
  </si>
  <si>
    <t>Grand Total</t>
  </si>
  <si>
    <t>month</t>
  </si>
  <si>
    <t>Jan</t>
  </si>
  <si>
    <t>Feb</t>
  </si>
  <si>
    <t>Mar</t>
  </si>
  <si>
    <t>Apr</t>
  </si>
  <si>
    <t>May</t>
  </si>
  <si>
    <t>Jun</t>
  </si>
  <si>
    <t>Jul</t>
  </si>
  <si>
    <t>Aug</t>
  </si>
  <si>
    <t>Sep</t>
  </si>
  <si>
    <t>Oct</t>
  </si>
  <si>
    <t>Nov</t>
  </si>
  <si>
    <t>Dec</t>
  </si>
  <si>
    <t>Total sales</t>
  </si>
  <si>
    <t>Average</t>
  </si>
  <si>
    <t>Total customers</t>
  </si>
  <si>
    <t>Total orders</t>
  </si>
  <si>
    <t>Worst Case</t>
  </si>
  <si>
    <t>Normal Case</t>
  </si>
  <si>
    <t>Best Case</t>
  </si>
  <si>
    <t>Adjusted Revenue</t>
  </si>
  <si>
    <t>Price Change %</t>
  </si>
  <si>
    <t>Scenario</t>
  </si>
  <si>
    <t>Base Total Revenue</t>
  </si>
  <si>
    <t>WHAT-IF ANALYSIS - SCENARIO MANAGER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</si>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</sst>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0"/>
      <name val="Calibri"/>
      <scheme val="minor"/>
    </font>
    <font>
      <b/>
      <sz val="11"/>
      <color theme="1"/>
      <name val="Calibri"/>
      <family val="2"/>
      <scheme val="minor"/>
    </font>
    <font>
      <sz val="8"/>
      <name val="Calibri"/>
      <scheme val="minor"/>
    </font>
    <font>
      <b/>
      <sz val="11"/>
      <name val="Calibri"/>
    </font>
    <font>
      <b/>
      <sz val="14"/>
      <name val="Calibri"/>
    </font>
    <font>
      <i/>
      <sz val="11"/>
      <color theme="1"/>
      <name val="Calibri"/>
      <family val="2"/>
      <scheme val="minor"/>
    </font>
  </fonts>
  <fills count="11">
    <fill>
      <patternFill patternType="none"/>
    </fill>
    <fill>
      <patternFill patternType="gray125"/>
    </fill>
    <fill>
      <patternFill patternType="solid">
        <fgColor rgb="FFFFF2CC"/>
        <bgColor rgb="FFFFF2CC"/>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2"/>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2" tint="-0.14999847407452621"/>
        <bgColor indexed="64"/>
      </patternFill>
    </fill>
    <fill>
      <patternFill patternType="solid">
        <fgColor theme="0" tint="-0.14999847407452621"/>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5">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4" fillId="0" borderId="1" xfId="0" applyFont="1" applyBorder="1"/>
    <xf numFmtId="0" fontId="5" fillId="0" borderId="0" xfId="0" applyFont="1"/>
    <xf numFmtId="0" fontId="3" fillId="0" borderId="0" xfId="0" applyFont="1"/>
    <xf numFmtId="164" fontId="3" fillId="0" borderId="0" xfId="0" applyNumberFormat="1" applyFont="1"/>
    <xf numFmtId="0" fontId="8" fillId="3" borderId="3" xfId="0" applyFont="1" applyFill="1" applyBorder="1"/>
    <xf numFmtId="0" fontId="8" fillId="3" borderId="2" xfId="0" applyFont="1" applyFill="1" applyBorder="1"/>
    <xf numFmtId="0" fontId="0" fillId="0" borderId="3" xfId="0" applyBorder="1"/>
    <xf numFmtId="22" fontId="0" fillId="4" borderId="3" xfId="0" applyNumberFormat="1" applyFill="1" applyBorder="1"/>
    <xf numFmtId="0" fontId="0" fillId="4" borderId="3" xfId="0" applyFill="1" applyBorder="1"/>
    <xf numFmtId="14" fontId="0" fillId="4" borderId="4" xfId="0" applyNumberFormat="1" applyFill="1" applyBorder="1"/>
    <xf numFmtId="22" fontId="0" fillId="0" borderId="3" xfId="0" applyNumberFormat="1" applyBorder="1"/>
    <xf numFmtId="14" fontId="0" fillId="0" borderId="4" xfId="0" applyNumberFormat="1" applyBorder="1"/>
    <xf numFmtId="14" fontId="8" fillId="3" borderId="4" xfId="0" applyNumberFormat="1" applyFont="1" applyFill="1" applyBorder="1"/>
    <xf numFmtId="0" fontId="5" fillId="6" borderId="0" xfId="0" applyFont="1" applyFill="1"/>
    <xf numFmtId="14" fontId="5" fillId="6" borderId="0" xfId="0" applyNumberFormat="1" applyFont="1" applyFill="1"/>
    <xf numFmtId="0" fontId="0" fillId="6" borderId="0" xfId="0" applyFill="1"/>
    <xf numFmtId="14" fontId="0" fillId="6" borderId="0" xfId="0" applyNumberFormat="1" applyFill="1"/>
    <xf numFmtId="0" fontId="9" fillId="0" borderId="0" xfId="0" applyFont="1"/>
    <xf numFmtId="0" fontId="1" fillId="0" borderId="0" xfId="0"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0" fontId="0" fillId="8" borderId="0" xfId="0" applyFill="1"/>
    <xf numFmtId="0" fontId="1" fillId="7" borderId="0" xfId="0" applyFont="1" applyFill="1"/>
    <xf numFmtId="0" fontId="1" fillId="8" borderId="0" xfId="0" applyFont="1" applyFill="1"/>
    <xf numFmtId="0" fontId="1" fillId="5" borderId="0" xfId="0" applyFont="1" applyFill="1"/>
    <xf numFmtId="0" fontId="1" fillId="9" borderId="0" xfId="0" applyFont="1" applyFill="1"/>
    <xf numFmtId="0" fontId="11" fillId="0" borderId="0" xfId="0" applyFont="1"/>
    <xf numFmtId="0" fontId="12" fillId="0" borderId="0" xfId="0" applyFont="1"/>
    <xf numFmtId="0" fontId="0" fillId="0" borderId="14" xfId="0" applyBorder="1"/>
    <xf numFmtId="0" fontId="13" fillId="0" borderId="15" xfId="0" applyFont="1" applyBorder="1" applyAlignment="1">
      <alignment horizontal="center"/>
    </xf>
    <xf numFmtId="0" fontId="13" fillId="0" borderId="15" xfId="0" applyFont="1" applyBorder="1" applyAlignment="1">
      <alignment horizontal="centerContinuous"/>
    </xf>
    <xf numFmtId="0" fontId="1" fillId="10" borderId="0" xfId="0" applyFont="1" applyFill="1" applyAlignment="1">
      <alignment horizontal="center"/>
    </xf>
    <xf numFmtId="0" fontId="0" fillId="0" borderId="0" xfId="0" applyNumberFormat="1"/>
  </cellXfs>
  <cellStyles count="1">
    <cellStyle name="Normal" xfId="0" builtinId="0"/>
  </cellStyles>
  <dxfs count="20">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65" formatCode="dd/mm/yyyy"/>
      <fill>
        <patternFill patternType="solid">
          <fgColor indexed="64"/>
          <bgColor theme="2"/>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2"/>
        </patternFill>
      </fil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 FINAL_PROJECT_.xlsx]pivot_table!PivotTable3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gu-IN"/>
              <a:t>Top</a:t>
            </a:r>
            <a:r>
              <a:rPr lang="gu-IN" baseline="0"/>
              <a:t> customers</a:t>
            </a:r>
          </a:p>
          <a:p>
            <a:pPr>
              <a:defRPr/>
            </a:pPr>
            <a:endParaRPr lang="en-US"/>
          </a:p>
        </c:rich>
      </c:tx>
      <c:layout>
        <c:manualLayout>
          <c:xMode val="edge"/>
          <c:yMode val="edge"/>
          <c:x val="0.38256255468066491"/>
          <c:y val="0.13323855351414407"/>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pivot_table!$F$4:$F$15</c:f>
              <c:strCache>
                <c:ptCount val="11"/>
                <c:pt idx="0">
                  <c:v>Jennifer Taylor</c:v>
                </c:pt>
                <c:pt idx="1">
                  <c:v>Lisa Anderson</c:v>
                </c:pt>
                <c:pt idx="2">
                  <c:v>David Martinez</c:v>
                </c:pt>
                <c:pt idx="3">
                  <c:v>Dennis Gray</c:v>
                </c:pt>
                <c:pt idx="4">
                  <c:v>Sharon Butler</c:v>
                </c:pt>
                <c:pt idx="5">
                  <c:v>Helen Roberts</c:v>
                </c:pt>
                <c:pt idx="6">
                  <c:v>Cynthia Price</c:v>
                </c:pt>
                <c:pt idx="7">
                  <c:v>Paul Baker</c:v>
                </c:pt>
                <c:pt idx="8">
                  <c:v>Emma Wilson</c:v>
                </c:pt>
                <c:pt idx="9">
                  <c:v>Charles Allen</c:v>
                </c:pt>
                <c:pt idx="10">
                  <c:v>Kevin Scott</c:v>
                </c:pt>
              </c:strCache>
            </c:strRef>
          </c:cat>
          <c:val>
            <c:numRef>
              <c:f>pivot_table!$G$4:$G$15</c:f>
              <c:numCache>
                <c:formatCode>General</c:formatCode>
                <c:ptCount val="11"/>
                <c:pt idx="0">
                  <c:v>639.91999999999996</c:v>
                </c:pt>
                <c:pt idx="1">
                  <c:v>539.91999999999996</c:v>
                </c:pt>
                <c:pt idx="2">
                  <c:v>519.92999999999995</c:v>
                </c:pt>
                <c:pt idx="3">
                  <c:v>479.91999999999996</c:v>
                </c:pt>
                <c:pt idx="4">
                  <c:v>419.93</c:v>
                </c:pt>
                <c:pt idx="5">
                  <c:v>359.95</c:v>
                </c:pt>
                <c:pt idx="6">
                  <c:v>319.95999999999998</c:v>
                </c:pt>
                <c:pt idx="7">
                  <c:v>299.95</c:v>
                </c:pt>
                <c:pt idx="8">
                  <c:v>299.95</c:v>
                </c:pt>
                <c:pt idx="9">
                  <c:v>259.95999999999998</c:v>
                </c:pt>
                <c:pt idx="10">
                  <c:v>259.95999999999998</c:v>
                </c:pt>
              </c:numCache>
            </c:numRef>
          </c:val>
          <c:extLst>
            <c:ext xmlns:c16="http://schemas.microsoft.com/office/drawing/2014/chart" uri="{C3380CC4-5D6E-409C-BE32-E72D297353CC}">
              <c16:uniqueId val="{00000000-EEF0-4A56-B389-2A4CC9CCBA14}"/>
            </c:ext>
          </c:extLst>
        </c:ser>
        <c:dLbls>
          <c:dLblPos val="outEnd"/>
          <c:showLegendKey val="0"/>
          <c:showVal val="1"/>
          <c:showCatName val="0"/>
          <c:showSerName val="0"/>
          <c:showPercent val="0"/>
          <c:showBubbleSize val="0"/>
        </c:dLbls>
        <c:gapWidth val="182"/>
        <c:overlap val="-50"/>
        <c:axId val="522775752"/>
        <c:axId val="522772512"/>
      </c:barChart>
      <c:catAx>
        <c:axId val="5227757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2772512"/>
        <c:crosses val="autoZero"/>
        <c:auto val="1"/>
        <c:lblAlgn val="ctr"/>
        <c:lblOffset val="100"/>
        <c:noMultiLvlLbl val="0"/>
      </c:catAx>
      <c:valAx>
        <c:axId val="52277251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2775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FINAL_PROJECT_.xlsx]pivot_table!PivotTable2</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gu-IN"/>
              <a:t>Region sales</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pivot_table!$D$3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786A-4FC8-9943-5B620FA6441B}"/>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786A-4FC8-9943-5B620FA6441B}"/>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786A-4FC8-9943-5B620FA6441B}"/>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786A-4FC8-9943-5B620FA6441B}"/>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786A-4FC8-9943-5B620FA644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pivot_table!$C$4:$C$9</c:f>
              <c:strCache>
                <c:ptCount val="5"/>
                <c:pt idx="0">
                  <c:v>Central</c:v>
                </c:pt>
                <c:pt idx="1">
                  <c:v>East</c:v>
                </c:pt>
                <c:pt idx="2">
                  <c:v>North</c:v>
                </c:pt>
                <c:pt idx="3">
                  <c:v>South</c:v>
                </c:pt>
                <c:pt idx="4">
                  <c:v>West</c:v>
                </c:pt>
              </c:strCache>
            </c:strRef>
          </c:cat>
          <c:val>
            <c:numRef>
              <c:f>pivot_table!$D$4:$D$9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786A-4FC8-9943-5B620FA6441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FINAL_PROJECT_.xlsx]pivot_table!PivotTable6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gu-IN"/>
              <a:t>Month</a:t>
            </a:r>
            <a:r>
              <a:rPr lang="gu-IN" baseline="0"/>
              <a:t>ly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pivot_table!$E$16</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pivot_table!$D$17:$D$29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pivot_table!$E$17:$E$29</c:f>
              <c:numCache>
                <c:formatCode>General</c:formatCode>
                <c:ptCount val="12"/>
                <c:pt idx="0">
                  <c:v>449.97</c:v>
                </c:pt>
                <c:pt idx="1">
                  <c:v>1799.88</c:v>
                </c:pt>
                <c:pt idx="2">
                  <c:v>2549.8300000000004</c:v>
                </c:pt>
                <c:pt idx="3">
                  <c:v>2699.82</c:v>
                </c:pt>
                <c:pt idx="4">
                  <c:v>749.95</c:v>
                </c:pt>
                <c:pt idx="5">
                  <c:v>449.97</c:v>
                </c:pt>
                <c:pt idx="6">
                  <c:v>599.96</c:v>
                </c:pt>
                <c:pt idx="7">
                  <c:v>1349.91</c:v>
                </c:pt>
                <c:pt idx="8">
                  <c:v>449.97</c:v>
                </c:pt>
                <c:pt idx="9">
                  <c:v>449.97</c:v>
                </c:pt>
                <c:pt idx="10">
                  <c:v>2099.86</c:v>
                </c:pt>
                <c:pt idx="11">
                  <c:v>1649.89</c:v>
                </c:pt>
              </c:numCache>
            </c:numRef>
          </c:val>
          <c:smooth val="0"/>
          <c:extLst>
            <c:ext xmlns:c16="http://schemas.microsoft.com/office/drawing/2014/chart" uri="{C3380CC4-5D6E-409C-BE32-E72D297353CC}">
              <c16:uniqueId val="{00000000-9235-43A2-83AD-47D13654D97A}"/>
            </c:ext>
          </c:extLst>
        </c:ser>
        <c:dLbls>
          <c:showLegendKey val="0"/>
          <c:showVal val="0"/>
          <c:showCatName val="0"/>
          <c:showSerName val="0"/>
          <c:showPercent val="0"/>
          <c:showBubbleSize val="0"/>
        </c:dLbls>
        <c:marker val="1"/>
        <c:smooth val="0"/>
        <c:axId val="630397840"/>
        <c:axId val="630400360"/>
      </c:lineChart>
      <c:catAx>
        <c:axId val="630397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0400360"/>
        <c:crosses val="autoZero"/>
        <c:auto val="1"/>
        <c:lblAlgn val="ctr"/>
        <c:lblOffset val="100"/>
        <c:noMultiLvlLbl val="0"/>
      </c:catAx>
      <c:valAx>
        <c:axId val="630400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039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152400</xdr:colOff>
      <xdr:row>17</xdr:row>
      <xdr:rowOff>14287</xdr:rowOff>
    </xdr:to>
    <xdr:graphicFrame macro="">
      <xdr:nvGraphicFramePr>
        <xdr:cNvPr id="2" name="Chart 1">
          <a:extLst>
            <a:ext uri="{FF2B5EF4-FFF2-40B4-BE49-F238E27FC236}">
              <a16:creationId xmlns:a16="http://schemas.microsoft.com/office/drawing/2014/main" id="{37BF0F2E-C644-41ED-9358-05176C31E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219808</xdr:colOff>
      <xdr:row>3</xdr:row>
      <xdr:rowOff>26016</xdr:rowOff>
    </xdr:from>
    <xdr:to>
      <xdr:col>12</xdr:col>
      <xdr:colOff>308050</xdr:colOff>
      <xdr:row>17</xdr:row>
      <xdr:rowOff>12212</xdr:rowOff>
    </xdr:to>
    <xdr:graphicFrame macro="">
      <xdr:nvGraphicFramePr>
        <xdr:cNvPr id="3" name="Chart 2">
          <a:extLst>
            <a:ext uri="{FF2B5EF4-FFF2-40B4-BE49-F238E27FC236}">
              <a16:creationId xmlns:a16="http://schemas.microsoft.com/office/drawing/2014/main" id="{7295112D-D181-4CE5-B815-568B8AFEF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378557</xdr:colOff>
      <xdr:row>3</xdr:row>
      <xdr:rowOff>24423</xdr:rowOff>
    </xdr:from>
    <xdr:to>
      <xdr:col>20</xdr:col>
      <xdr:colOff>58743</xdr:colOff>
      <xdr:row>17</xdr:row>
      <xdr:rowOff>5791</xdr:rowOff>
    </xdr:to>
    <xdr:graphicFrame macro="">
      <xdr:nvGraphicFramePr>
        <xdr:cNvPr id="4" name="Chart 3">
          <a:extLst>
            <a:ext uri="{FF2B5EF4-FFF2-40B4-BE49-F238E27FC236}">
              <a16:creationId xmlns:a16="http://schemas.microsoft.com/office/drawing/2014/main" id="{6E477338-1926-4DE5-B86C-08E7F3723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17666</xdr:colOff>
      <xdr:row>17</xdr:row>
      <xdr:rowOff>75124</xdr:rowOff>
    </xdr:from>
    <xdr:to>
      <xdr:col>1</xdr:col>
      <xdr:colOff>952200</xdr:colOff>
      <xdr:row>30</xdr:row>
      <xdr:rowOff>157841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388FD1B-4DCD-7E6A-92AA-6F76188561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66" y="3313624"/>
              <a:ext cx="1805391" cy="2559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968671</xdr:colOff>
      <xdr:row>17</xdr:row>
      <xdr:rowOff>86200</xdr:rowOff>
    </xdr:from>
    <xdr:to>
      <xdr:col>4</xdr:col>
      <xdr:colOff>102316</xdr:colOff>
      <xdr:row>30</xdr:row>
      <xdr:rowOff>168917</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145A7AA1-C35C-69BF-9EDE-1694EE77EB6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839528" y="3324700"/>
              <a:ext cx="1827859" cy="2559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AppData\Local\Packages\5319275A.WhatsAppDesktop_cv1g1gvanyjgm\LocalState\sessions\EFD6999AEE2C1FB8DE2D16B533CDDC19EA61C296\transfers\2026-09\PR_Final_Project_With_Scenario_Manager.xlsx" TargetMode="External"/><Relationship Id="rId1" Type="http://schemas.openxmlformats.org/officeDocument/2006/relationships/externalLinkPath" Target="/Users/HP/AppData/Local/Packages/5319275A.WhatsAppDesktop_cv1g1gvanyjgm/LocalState/sessions/EFD6999AEE2C1FB8DE2D16B533CDDC19EA61C296/transfers/2026-09/PR_Final_Project_With_Scenario_Manag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Instructions"/>
      <sheetName val="Final Project Dataset"/>
      <sheetName val="Scenario_Manager"/>
    </sheetNames>
    <sheetDataSet>
      <sheetData sheetId="0"/>
      <sheetData sheetId="1">
        <row r="1">
          <cell r="N1" t="str">
            <v>Total_Amount</v>
          </cell>
        </row>
        <row r="2">
          <cell r="N2">
            <v>749.97</v>
          </cell>
        </row>
        <row r="3">
          <cell r="N3">
            <v>749.97</v>
          </cell>
        </row>
        <row r="4">
          <cell r="N4">
            <v>179.97</v>
          </cell>
        </row>
        <row r="5">
          <cell r="N5">
            <v>179.97</v>
          </cell>
        </row>
        <row r="6">
          <cell r="N6">
            <v>749.95</v>
          </cell>
        </row>
        <row r="7">
          <cell r="N7">
            <v>119.98</v>
          </cell>
        </row>
        <row r="8">
          <cell r="N8">
            <v>749.95</v>
          </cell>
        </row>
        <row r="9">
          <cell r="N9">
            <v>179.97</v>
          </cell>
        </row>
        <row r="10">
          <cell r="N10">
            <v>2699.97</v>
          </cell>
        </row>
        <row r="11">
          <cell r="N11">
            <v>179.97</v>
          </cell>
        </row>
        <row r="12">
          <cell r="N12">
            <v>149.99</v>
          </cell>
        </row>
        <row r="13">
          <cell r="N13">
            <v>749.95</v>
          </cell>
        </row>
        <row r="14">
          <cell r="N14">
            <v>449.97</v>
          </cell>
        </row>
        <row r="15">
          <cell r="N15">
            <v>179.97</v>
          </cell>
        </row>
        <row r="16">
          <cell r="N16">
            <v>2099.9699999999998</v>
          </cell>
        </row>
        <row r="17">
          <cell r="N17">
            <v>899.99</v>
          </cell>
        </row>
        <row r="18">
          <cell r="N18">
            <v>599.96</v>
          </cell>
        </row>
        <row r="19">
          <cell r="N19">
            <v>1399.98</v>
          </cell>
        </row>
        <row r="20">
          <cell r="N20">
            <v>3599.96</v>
          </cell>
        </row>
        <row r="21">
          <cell r="N21">
            <v>749.97</v>
          </cell>
        </row>
        <row r="22">
          <cell r="N22">
            <v>3499.95</v>
          </cell>
        </row>
        <row r="23">
          <cell r="N23">
            <v>2799.96</v>
          </cell>
        </row>
        <row r="24">
          <cell r="N24">
            <v>999.96</v>
          </cell>
        </row>
        <row r="25">
          <cell r="N25">
            <v>1199.96</v>
          </cell>
        </row>
        <row r="26">
          <cell r="N26">
            <v>1249.95</v>
          </cell>
        </row>
        <row r="27">
          <cell r="N27">
            <v>1499.95</v>
          </cell>
        </row>
        <row r="28">
          <cell r="N28">
            <v>239.97</v>
          </cell>
        </row>
        <row r="29">
          <cell r="N29">
            <v>449.95</v>
          </cell>
        </row>
        <row r="30">
          <cell r="N30">
            <v>119.98</v>
          </cell>
        </row>
        <row r="31">
          <cell r="N31">
            <v>239.96</v>
          </cell>
        </row>
        <row r="32">
          <cell r="N32">
            <v>999.95</v>
          </cell>
        </row>
        <row r="33">
          <cell r="N33">
            <v>299.98</v>
          </cell>
        </row>
        <row r="34">
          <cell r="N34">
            <v>449.97</v>
          </cell>
        </row>
        <row r="35">
          <cell r="N35">
            <v>899.99</v>
          </cell>
        </row>
        <row r="36">
          <cell r="N36">
            <v>899.97</v>
          </cell>
        </row>
        <row r="37">
          <cell r="N37">
            <v>239.97</v>
          </cell>
        </row>
        <row r="38">
          <cell r="N38">
            <v>599.97</v>
          </cell>
        </row>
        <row r="39">
          <cell r="N39">
            <v>3499.95</v>
          </cell>
        </row>
        <row r="40">
          <cell r="N40">
            <v>269.97000000000003</v>
          </cell>
        </row>
        <row r="41">
          <cell r="N41">
            <v>79.989999999999995</v>
          </cell>
        </row>
        <row r="42">
          <cell r="N42">
            <v>119.98</v>
          </cell>
        </row>
        <row r="43">
          <cell r="N43">
            <v>89.99</v>
          </cell>
        </row>
        <row r="44">
          <cell r="N44">
            <v>449.95</v>
          </cell>
        </row>
        <row r="45">
          <cell r="N45">
            <v>1249.95</v>
          </cell>
        </row>
        <row r="46">
          <cell r="N46">
            <v>89.99</v>
          </cell>
        </row>
        <row r="47">
          <cell r="N47">
            <v>299.98</v>
          </cell>
        </row>
        <row r="48">
          <cell r="N48">
            <v>239.96</v>
          </cell>
        </row>
        <row r="49">
          <cell r="N49">
            <v>449.95</v>
          </cell>
        </row>
        <row r="50">
          <cell r="N50">
            <v>179.98</v>
          </cell>
        </row>
        <row r="51">
          <cell r="N51">
            <v>4499.95</v>
          </cell>
        </row>
        <row r="52">
          <cell r="N52">
            <v>4499.95</v>
          </cell>
        </row>
        <row r="53">
          <cell r="N53">
            <v>59.99</v>
          </cell>
        </row>
        <row r="54">
          <cell r="N54">
            <v>599.98</v>
          </cell>
        </row>
        <row r="55">
          <cell r="N55">
            <v>359.96</v>
          </cell>
        </row>
        <row r="56">
          <cell r="N56">
            <v>79.989999999999995</v>
          </cell>
        </row>
        <row r="57">
          <cell r="N57">
            <v>179.98</v>
          </cell>
        </row>
        <row r="58">
          <cell r="N58">
            <v>2099.9699999999998</v>
          </cell>
        </row>
        <row r="59">
          <cell r="N59">
            <v>3599.96</v>
          </cell>
        </row>
        <row r="60">
          <cell r="N60">
            <v>149.99</v>
          </cell>
        </row>
        <row r="61">
          <cell r="N61">
            <v>179.98</v>
          </cell>
        </row>
        <row r="62">
          <cell r="N62">
            <v>89.99</v>
          </cell>
        </row>
        <row r="63">
          <cell r="N63">
            <v>89.99</v>
          </cell>
        </row>
        <row r="64">
          <cell r="N64">
            <v>399.95</v>
          </cell>
        </row>
        <row r="65">
          <cell r="N65">
            <v>149.99</v>
          </cell>
        </row>
        <row r="66">
          <cell r="N66">
            <v>1399.98</v>
          </cell>
        </row>
        <row r="67">
          <cell r="N67">
            <v>449.95</v>
          </cell>
        </row>
        <row r="68">
          <cell r="N68">
            <v>239.96</v>
          </cell>
        </row>
        <row r="69">
          <cell r="N69">
            <v>149.99</v>
          </cell>
        </row>
        <row r="70">
          <cell r="N70">
            <v>299.99</v>
          </cell>
        </row>
        <row r="71">
          <cell r="N71">
            <v>399.98</v>
          </cell>
        </row>
        <row r="72">
          <cell r="N72">
            <v>179.97</v>
          </cell>
        </row>
        <row r="73">
          <cell r="N73">
            <v>449.97</v>
          </cell>
        </row>
        <row r="74">
          <cell r="N74">
            <v>599.97</v>
          </cell>
        </row>
        <row r="75">
          <cell r="N75">
            <v>899.99</v>
          </cell>
        </row>
        <row r="76">
          <cell r="N76">
            <v>4499.95</v>
          </cell>
        </row>
        <row r="77">
          <cell r="N77">
            <v>119.98</v>
          </cell>
        </row>
        <row r="78">
          <cell r="N78">
            <v>999.96</v>
          </cell>
        </row>
        <row r="79">
          <cell r="N79">
            <v>499.98</v>
          </cell>
        </row>
        <row r="80">
          <cell r="N80">
            <v>299.99</v>
          </cell>
        </row>
        <row r="81">
          <cell r="N81">
            <v>179.98</v>
          </cell>
        </row>
        <row r="82">
          <cell r="N82">
            <v>899.97</v>
          </cell>
        </row>
        <row r="83">
          <cell r="N83">
            <v>1399.98</v>
          </cell>
        </row>
        <row r="84">
          <cell r="N84">
            <v>3599.96</v>
          </cell>
        </row>
        <row r="85">
          <cell r="N85">
            <v>299.98</v>
          </cell>
        </row>
        <row r="86">
          <cell r="N86">
            <v>299.98</v>
          </cell>
        </row>
        <row r="87">
          <cell r="N87">
            <v>89.99</v>
          </cell>
        </row>
        <row r="88">
          <cell r="N88">
            <v>1499.95</v>
          </cell>
        </row>
        <row r="89">
          <cell r="N89">
            <v>599.96</v>
          </cell>
        </row>
        <row r="90">
          <cell r="N90">
            <v>1249.95</v>
          </cell>
        </row>
        <row r="91">
          <cell r="N91">
            <v>749.97</v>
          </cell>
        </row>
        <row r="92">
          <cell r="N92">
            <v>799.96</v>
          </cell>
        </row>
        <row r="93">
          <cell r="N93">
            <v>999.95</v>
          </cell>
        </row>
        <row r="94">
          <cell r="N94">
            <v>179.98</v>
          </cell>
        </row>
        <row r="95">
          <cell r="N95">
            <v>4499.95</v>
          </cell>
        </row>
        <row r="96">
          <cell r="N96">
            <v>449.97</v>
          </cell>
        </row>
        <row r="97">
          <cell r="N97">
            <v>749.95</v>
          </cell>
        </row>
        <row r="98">
          <cell r="N98">
            <v>239.97</v>
          </cell>
        </row>
        <row r="99">
          <cell r="N99">
            <v>499.98</v>
          </cell>
        </row>
        <row r="100">
          <cell r="N100">
            <v>699.99</v>
          </cell>
        </row>
        <row r="101">
          <cell r="N101">
            <v>449.97</v>
          </cell>
        </row>
        <row r="102">
          <cell r="N102">
            <v>1399.98</v>
          </cell>
        </row>
        <row r="103">
          <cell r="N103">
            <v>249.99</v>
          </cell>
        </row>
        <row r="104">
          <cell r="N104">
            <v>249.99</v>
          </cell>
        </row>
        <row r="105">
          <cell r="N105">
            <v>1399.98</v>
          </cell>
        </row>
        <row r="106">
          <cell r="N106">
            <v>179.97</v>
          </cell>
        </row>
        <row r="107">
          <cell r="N107">
            <v>179.97</v>
          </cell>
        </row>
        <row r="108">
          <cell r="N108">
            <v>319.95999999999998</v>
          </cell>
        </row>
        <row r="109">
          <cell r="N109">
            <v>79.989999999999995</v>
          </cell>
        </row>
        <row r="110">
          <cell r="N110">
            <v>899.97</v>
          </cell>
        </row>
        <row r="111">
          <cell r="N111">
            <v>179.98</v>
          </cell>
        </row>
        <row r="112">
          <cell r="N112">
            <v>599.96</v>
          </cell>
        </row>
        <row r="113">
          <cell r="N113">
            <v>499.98</v>
          </cell>
        </row>
        <row r="114">
          <cell r="N114">
            <v>799.96</v>
          </cell>
        </row>
        <row r="115">
          <cell r="N115">
            <v>449.95</v>
          </cell>
        </row>
        <row r="116">
          <cell r="N116">
            <v>149.99</v>
          </cell>
        </row>
        <row r="117">
          <cell r="N117">
            <v>2799.96</v>
          </cell>
        </row>
        <row r="118">
          <cell r="N118">
            <v>2699.97</v>
          </cell>
        </row>
        <row r="119">
          <cell r="N119">
            <v>449.97</v>
          </cell>
        </row>
        <row r="120">
          <cell r="N120">
            <v>599.98</v>
          </cell>
        </row>
        <row r="121">
          <cell r="N121">
            <v>199.99</v>
          </cell>
        </row>
        <row r="122">
          <cell r="N122">
            <v>1199.96</v>
          </cell>
        </row>
        <row r="123">
          <cell r="N123">
            <v>119.98</v>
          </cell>
        </row>
        <row r="124">
          <cell r="N124">
            <v>599.96</v>
          </cell>
        </row>
        <row r="125">
          <cell r="N125">
            <v>1399.98</v>
          </cell>
        </row>
        <row r="126">
          <cell r="N126">
            <v>449.97</v>
          </cell>
        </row>
        <row r="127">
          <cell r="N127">
            <v>899.97</v>
          </cell>
        </row>
        <row r="128">
          <cell r="N128">
            <v>2699.97</v>
          </cell>
        </row>
        <row r="129">
          <cell r="N129">
            <v>3499.95</v>
          </cell>
        </row>
        <row r="130">
          <cell r="N130">
            <v>2799.96</v>
          </cell>
        </row>
        <row r="131">
          <cell r="N131">
            <v>899.99</v>
          </cell>
        </row>
        <row r="132">
          <cell r="N132">
            <v>299.98</v>
          </cell>
        </row>
        <row r="133">
          <cell r="N133">
            <v>269.97000000000003</v>
          </cell>
        </row>
        <row r="134">
          <cell r="N134">
            <v>299.98</v>
          </cell>
        </row>
        <row r="135">
          <cell r="N135">
            <v>1399.98</v>
          </cell>
        </row>
        <row r="136">
          <cell r="N136">
            <v>3499.95</v>
          </cell>
        </row>
        <row r="137">
          <cell r="N137">
            <v>269.97000000000003</v>
          </cell>
        </row>
        <row r="138">
          <cell r="N138">
            <v>1249.95</v>
          </cell>
        </row>
        <row r="139">
          <cell r="N139">
            <v>899.97</v>
          </cell>
        </row>
        <row r="140">
          <cell r="N140">
            <v>269.97000000000003</v>
          </cell>
        </row>
        <row r="141">
          <cell r="N141">
            <v>299.98</v>
          </cell>
        </row>
        <row r="142">
          <cell r="N142">
            <v>249.99</v>
          </cell>
        </row>
        <row r="143">
          <cell r="N143">
            <v>449.97</v>
          </cell>
        </row>
        <row r="144">
          <cell r="N144">
            <v>299.95</v>
          </cell>
        </row>
        <row r="145">
          <cell r="N145">
            <v>999.96</v>
          </cell>
        </row>
        <row r="146">
          <cell r="N146">
            <v>749.95</v>
          </cell>
        </row>
        <row r="147">
          <cell r="N147">
            <v>179.97</v>
          </cell>
        </row>
        <row r="148">
          <cell r="N148">
            <v>749.95</v>
          </cell>
        </row>
        <row r="149">
          <cell r="N149">
            <v>1399.98</v>
          </cell>
        </row>
        <row r="150">
          <cell r="N150">
            <v>799.96</v>
          </cell>
        </row>
        <row r="151">
          <cell r="N151">
            <v>59.99</v>
          </cell>
        </row>
        <row r="152">
          <cell r="N152">
            <v>2099.9699999999998</v>
          </cell>
        </row>
        <row r="153">
          <cell r="N153">
            <v>1249.95</v>
          </cell>
        </row>
        <row r="154">
          <cell r="N154">
            <v>299.98</v>
          </cell>
        </row>
        <row r="155">
          <cell r="N155">
            <v>899.97</v>
          </cell>
        </row>
        <row r="156">
          <cell r="N156">
            <v>1249.95</v>
          </cell>
        </row>
        <row r="157">
          <cell r="N157">
            <v>299.98</v>
          </cell>
        </row>
        <row r="158">
          <cell r="N158">
            <v>3499.95</v>
          </cell>
        </row>
        <row r="159">
          <cell r="N159">
            <v>999.96</v>
          </cell>
        </row>
        <row r="160">
          <cell r="N160">
            <v>2799.96</v>
          </cell>
        </row>
        <row r="161">
          <cell r="N161">
            <v>499.98</v>
          </cell>
        </row>
        <row r="162">
          <cell r="N162">
            <v>179.97</v>
          </cell>
        </row>
        <row r="163">
          <cell r="N163">
            <v>319.95999999999998</v>
          </cell>
        </row>
        <row r="164">
          <cell r="N164">
            <v>239.97</v>
          </cell>
        </row>
        <row r="165">
          <cell r="N165">
            <v>1799.98</v>
          </cell>
        </row>
        <row r="166">
          <cell r="N166">
            <v>149.99</v>
          </cell>
        </row>
        <row r="167">
          <cell r="N167">
            <v>599.98</v>
          </cell>
        </row>
        <row r="168">
          <cell r="N168">
            <v>119.98</v>
          </cell>
        </row>
        <row r="169">
          <cell r="N169">
            <v>89.99</v>
          </cell>
        </row>
        <row r="170">
          <cell r="N170">
            <v>4499.95</v>
          </cell>
        </row>
        <row r="171">
          <cell r="N171">
            <v>299.98</v>
          </cell>
        </row>
        <row r="172">
          <cell r="N172">
            <v>299.98</v>
          </cell>
        </row>
        <row r="173">
          <cell r="N173">
            <v>449.97</v>
          </cell>
        </row>
        <row r="174">
          <cell r="N174">
            <v>599.98</v>
          </cell>
        </row>
        <row r="175">
          <cell r="N175">
            <v>599.98</v>
          </cell>
        </row>
        <row r="176">
          <cell r="N176">
            <v>799.96</v>
          </cell>
        </row>
        <row r="177">
          <cell r="N177">
            <v>89.99</v>
          </cell>
        </row>
        <row r="178">
          <cell r="N178">
            <v>749.95</v>
          </cell>
        </row>
        <row r="179">
          <cell r="N179">
            <v>899.99</v>
          </cell>
        </row>
        <row r="180">
          <cell r="N180">
            <v>179.98</v>
          </cell>
        </row>
        <row r="181">
          <cell r="N181">
            <v>899.99</v>
          </cell>
        </row>
        <row r="182">
          <cell r="N182">
            <v>749.95</v>
          </cell>
        </row>
        <row r="183">
          <cell r="N183">
            <v>899.97</v>
          </cell>
        </row>
        <row r="184">
          <cell r="N184">
            <v>2099.9699999999998</v>
          </cell>
        </row>
        <row r="185">
          <cell r="N185">
            <v>999.95</v>
          </cell>
        </row>
        <row r="186">
          <cell r="N186">
            <v>1249.95</v>
          </cell>
        </row>
        <row r="187">
          <cell r="N187">
            <v>599.96</v>
          </cell>
        </row>
        <row r="188">
          <cell r="N188">
            <v>2099.9699999999998</v>
          </cell>
        </row>
        <row r="189">
          <cell r="N189">
            <v>79.989999999999995</v>
          </cell>
        </row>
        <row r="190">
          <cell r="N190">
            <v>299.99</v>
          </cell>
        </row>
        <row r="191">
          <cell r="N191">
            <v>999.96</v>
          </cell>
        </row>
        <row r="192">
          <cell r="N192">
            <v>299.98</v>
          </cell>
        </row>
        <row r="193">
          <cell r="N193">
            <v>899.97</v>
          </cell>
        </row>
        <row r="194">
          <cell r="N194">
            <v>799.96</v>
          </cell>
        </row>
        <row r="195">
          <cell r="N195">
            <v>1499.95</v>
          </cell>
        </row>
        <row r="196">
          <cell r="N196">
            <v>449.97</v>
          </cell>
        </row>
        <row r="197">
          <cell r="N197">
            <v>299.95</v>
          </cell>
        </row>
        <row r="198">
          <cell r="N198">
            <v>239.96</v>
          </cell>
        </row>
        <row r="199">
          <cell r="N199">
            <v>999.96</v>
          </cell>
        </row>
        <row r="200">
          <cell r="N200">
            <v>3599.96</v>
          </cell>
        </row>
        <row r="201">
          <cell r="N201">
            <v>899.97</v>
          </cell>
        </row>
        <row r="202">
          <cell r="N202">
            <v>1399.98</v>
          </cell>
        </row>
        <row r="203">
          <cell r="N203">
            <v>2799.96</v>
          </cell>
        </row>
        <row r="204">
          <cell r="N204">
            <v>179.98</v>
          </cell>
        </row>
        <row r="205">
          <cell r="N205">
            <v>269.97000000000003</v>
          </cell>
        </row>
        <row r="206">
          <cell r="N206">
            <v>59.99</v>
          </cell>
        </row>
        <row r="207">
          <cell r="N207">
            <v>449.97</v>
          </cell>
        </row>
        <row r="208">
          <cell r="N208">
            <v>1499.95</v>
          </cell>
        </row>
        <row r="209">
          <cell r="N209">
            <v>299.95</v>
          </cell>
        </row>
        <row r="210">
          <cell r="N210">
            <v>239.97</v>
          </cell>
        </row>
        <row r="211">
          <cell r="N211">
            <v>599.97</v>
          </cell>
        </row>
        <row r="212">
          <cell r="N212">
            <v>179.98</v>
          </cell>
        </row>
        <row r="213">
          <cell r="N213">
            <v>299.98</v>
          </cell>
        </row>
        <row r="214">
          <cell r="N214">
            <v>3499.95</v>
          </cell>
        </row>
        <row r="215">
          <cell r="N215">
            <v>449.97</v>
          </cell>
        </row>
        <row r="216">
          <cell r="N216">
            <v>2699.97</v>
          </cell>
        </row>
        <row r="217">
          <cell r="N217">
            <v>599.97</v>
          </cell>
        </row>
        <row r="218">
          <cell r="N218">
            <v>1499.95</v>
          </cell>
        </row>
        <row r="219">
          <cell r="N219">
            <v>699.99</v>
          </cell>
        </row>
        <row r="220">
          <cell r="N220">
            <v>699.99</v>
          </cell>
        </row>
        <row r="221">
          <cell r="N221">
            <v>599.96</v>
          </cell>
        </row>
        <row r="222">
          <cell r="N222">
            <v>449.95</v>
          </cell>
        </row>
        <row r="223">
          <cell r="N223">
            <v>399.98</v>
          </cell>
        </row>
        <row r="224">
          <cell r="N224">
            <v>239.96</v>
          </cell>
        </row>
        <row r="225">
          <cell r="N225">
            <v>599.98</v>
          </cell>
        </row>
        <row r="226">
          <cell r="N226">
            <v>299.98</v>
          </cell>
        </row>
        <row r="227">
          <cell r="N227">
            <v>3499.95</v>
          </cell>
        </row>
        <row r="228">
          <cell r="N228">
            <v>299.95</v>
          </cell>
        </row>
        <row r="229">
          <cell r="N229">
            <v>179.98</v>
          </cell>
        </row>
        <row r="230">
          <cell r="N230">
            <v>1249.95</v>
          </cell>
        </row>
        <row r="231">
          <cell r="N231">
            <v>299.98</v>
          </cell>
        </row>
        <row r="232">
          <cell r="N232">
            <v>4499.95</v>
          </cell>
        </row>
        <row r="233">
          <cell r="N233">
            <v>599.96</v>
          </cell>
        </row>
        <row r="234">
          <cell r="N234">
            <v>249.99</v>
          </cell>
        </row>
        <row r="235">
          <cell r="N235">
            <v>119.98</v>
          </cell>
        </row>
        <row r="236">
          <cell r="N236">
            <v>299.98</v>
          </cell>
        </row>
        <row r="237">
          <cell r="N237">
            <v>2699.97</v>
          </cell>
        </row>
        <row r="238">
          <cell r="N238">
            <v>2699.97</v>
          </cell>
        </row>
        <row r="239">
          <cell r="N239">
            <v>899.97</v>
          </cell>
        </row>
        <row r="240">
          <cell r="N240">
            <v>599.96</v>
          </cell>
        </row>
        <row r="241">
          <cell r="N241">
            <v>319.95999999999998</v>
          </cell>
        </row>
        <row r="242">
          <cell r="N242">
            <v>449.95</v>
          </cell>
        </row>
        <row r="243">
          <cell r="N243">
            <v>449.97</v>
          </cell>
        </row>
        <row r="244">
          <cell r="N244">
            <v>179.98</v>
          </cell>
        </row>
        <row r="245">
          <cell r="N245">
            <v>1399.98</v>
          </cell>
        </row>
        <row r="246">
          <cell r="N246">
            <v>2699.97</v>
          </cell>
        </row>
        <row r="247">
          <cell r="N247">
            <v>239.97</v>
          </cell>
        </row>
        <row r="248">
          <cell r="N248">
            <v>89.99</v>
          </cell>
        </row>
        <row r="249">
          <cell r="N249">
            <v>2099.9699999999998</v>
          </cell>
        </row>
        <row r="250">
          <cell r="N250">
            <v>179.98</v>
          </cell>
        </row>
        <row r="251">
          <cell r="N251">
            <v>269.97000000000003</v>
          </cell>
        </row>
        <row r="252">
          <cell r="N252"/>
        </row>
        <row r="253">
          <cell r="N253"/>
        </row>
        <row r="254">
          <cell r="N254"/>
        </row>
        <row r="255">
          <cell r="N255"/>
        </row>
        <row r="256">
          <cell r="N256"/>
        </row>
        <row r="257">
          <cell r="N257"/>
        </row>
        <row r="258">
          <cell r="N258"/>
        </row>
        <row r="259">
          <cell r="N259"/>
        </row>
        <row r="260">
          <cell r="N260"/>
        </row>
        <row r="261">
          <cell r="N261"/>
        </row>
        <row r="262">
          <cell r="N262"/>
        </row>
        <row r="263">
          <cell r="N263"/>
        </row>
        <row r="264">
          <cell r="N264"/>
        </row>
        <row r="265">
          <cell r="N265"/>
        </row>
        <row r="266">
          <cell r="N266"/>
        </row>
        <row r="267">
          <cell r="N267"/>
        </row>
        <row r="268">
          <cell r="N268"/>
        </row>
        <row r="269">
          <cell r="N269"/>
        </row>
        <row r="270">
          <cell r="N270"/>
        </row>
        <row r="271">
          <cell r="N271"/>
        </row>
        <row r="272">
          <cell r="N272"/>
        </row>
        <row r="273">
          <cell r="N273"/>
        </row>
        <row r="274">
          <cell r="N274"/>
        </row>
        <row r="275">
          <cell r="N275"/>
        </row>
        <row r="276">
          <cell r="N276"/>
        </row>
        <row r="277">
          <cell r="N277"/>
        </row>
        <row r="278">
          <cell r="N278"/>
        </row>
        <row r="279">
          <cell r="N279"/>
        </row>
        <row r="280">
          <cell r="N280"/>
        </row>
        <row r="281">
          <cell r="N281"/>
        </row>
        <row r="282">
          <cell r="N282"/>
        </row>
        <row r="283">
          <cell r="N283"/>
        </row>
        <row r="284">
          <cell r="N284"/>
        </row>
        <row r="285">
          <cell r="N285"/>
        </row>
        <row r="286">
          <cell r="N286"/>
        </row>
        <row r="287">
          <cell r="N287"/>
        </row>
        <row r="288">
          <cell r="N288"/>
        </row>
        <row r="289">
          <cell r="N289"/>
        </row>
        <row r="290">
          <cell r="N290"/>
        </row>
        <row r="291">
          <cell r="N291"/>
        </row>
        <row r="292">
          <cell r="N292"/>
        </row>
        <row r="293">
          <cell r="N293"/>
        </row>
        <row r="294">
          <cell r="N294"/>
        </row>
        <row r="295">
          <cell r="N295"/>
        </row>
        <row r="296">
          <cell r="N296"/>
        </row>
        <row r="297">
          <cell r="N297"/>
        </row>
        <row r="298">
          <cell r="N298"/>
        </row>
        <row r="299">
          <cell r="N299"/>
        </row>
        <row r="300">
          <cell r="N300"/>
        </row>
        <row r="301">
          <cell r="N301"/>
        </row>
        <row r="302">
          <cell r="N302"/>
        </row>
        <row r="303">
          <cell r="N303"/>
        </row>
        <row r="304">
          <cell r="N304"/>
        </row>
        <row r="305">
          <cell r="N305"/>
        </row>
        <row r="306">
          <cell r="N306"/>
        </row>
        <row r="307">
          <cell r="N307"/>
        </row>
        <row r="308">
          <cell r="N308"/>
        </row>
        <row r="309">
          <cell r="N309"/>
        </row>
        <row r="310">
          <cell r="N310"/>
        </row>
        <row r="311">
          <cell r="N311"/>
        </row>
        <row r="312">
          <cell r="N312"/>
        </row>
        <row r="313">
          <cell r="N313"/>
        </row>
        <row r="314">
          <cell r="N314"/>
        </row>
        <row r="315">
          <cell r="N315"/>
        </row>
        <row r="316">
          <cell r="N316"/>
        </row>
        <row r="317">
          <cell r="N317"/>
        </row>
        <row r="318">
          <cell r="N318"/>
        </row>
        <row r="319">
          <cell r="N319"/>
        </row>
        <row r="320">
          <cell r="N320"/>
        </row>
        <row r="321">
          <cell r="N321"/>
        </row>
        <row r="322">
          <cell r="N322"/>
        </row>
        <row r="323">
          <cell r="N323"/>
        </row>
        <row r="324">
          <cell r="N324"/>
        </row>
        <row r="325">
          <cell r="N325"/>
        </row>
        <row r="326">
          <cell r="N326"/>
        </row>
        <row r="327">
          <cell r="N327"/>
        </row>
        <row r="328">
          <cell r="N328"/>
        </row>
        <row r="329">
          <cell r="N329"/>
        </row>
        <row r="330">
          <cell r="N330"/>
        </row>
        <row r="331">
          <cell r="N331"/>
        </row>
        <row r="332">
          <cell r="N332"/>
        </row>
        <row r="333">
          <cell r="N333"/>
        </row>
        <row r="334">
          <cell r="N334"/>
        </row>
        <row r="335">
          <cell r="N335"/>
        </row>
        <row r="336">
          <cell r="N336"/>
        </row>
        <row r="337">
          <cell r="N337"/>
        </row>
        <row r="338">
          <cell r="N338"/>
        </row>
        <row r="339">
          <cell r="N339"/>
        </row>
        <row r="340">
          <cell r="N340"/>
        </row>
        <row r="341">
          <cell r="N341"/>
        </row>
        <row r="342">
          <cell r="N342"/>
        </row>
        <row r="343">
          <cell r="N343"/>
        </row>
        <row r="344">
          <cell r="N344"/>
        </row>
        <row r="345">
          <cell r="N345"/>
        </row>
        <row r="346">
          <cell r="N346"/>
        </row>
        <row r="347">
          <cell r="N347"/>
        </row>
        <row r="348">
          <cell r="N348"/>
        </row>
        <row r="349">
          <cell r="N349"/>
        </row>
        <row r="350">
          <cell r="N350"/>
        </row>
        <row r="351">
          <cell r="N351"/>
        </row>
        <row r="352">
          <cell r="N352"/>
        </row>
        <row r="353">
          <cell r="N353"/>
        </row>
        <row r="354">
          <cell r="N354"/>
        </row>
        <row r="355">
          <cell r="N355"/>
        </row>
        <row r="356">
          <cell r="N356"/>
        </row>
        <row r="357">
          <cell r="N357"/>
        </row>
        <row r="358">
          <cell r="N358"/>
        </row>
        <row r="359">
          <cell r="N359"/>
        </row>
        <row r="360">
          <cell r="N360"/>
        </row>
        <row r="361">
          <cell r="N361"/>
        </row>
        <row r="362">
          <cell r="N362"/>
        </row>
        <row r="363">
          <cell r="N363"/>
        </row>
        <row r="364">
          <cell r="N364"/>
        </row>
        <row r="365">
          <cell r="N365"/>
        </row>
        <row r="366">
          <cell r="N366"/>
        </row>
        <row r="367">
          <cell r="N367"/>
        </row>
        <row r="368">
          <cell r="N368"/>
        </row>
        <row r="369">
          <cell r="N369"/>
        </row>
        <row r="370">
          <cell r="N370"/>
        </row>
        <row r="371">
          <cell r="N371"/>
        </row>
        <row r="372">
          <cell r="N372"/>
        </row>
        <row r="373">
          <cell r="N373"/>
        </row>
        <row r="374">
          <cell r="N374"/>
        </row>
        <row r="375">
          <cell r="N375"/>
        </row>
        <row r="376">
          <cell r="N376"/>
        </row>
        <row r="377">
          <cell r="N377"/>
        </row>
        <row r="378">
          <cell r="N378"/>
        </row>
        <row r="379">
          <cell r="N379"/>
        </row>
        <row r="380">
          <cell r="N380"/>
        </row>
        <row r="381">
          <cell r="N381"/>
        </row>
        <row r="382">
          <cell r="N382"/>
        </row>
        <row r="383">
          <cell r="N383"/>
        </row>
        <row r="384">
          <cell r="N384"/>
        </row>
        <row r="385">
          <cell r="N385"/>
        </row>
        <row r="386">
          <cell r="N386"/>
        </row>
        <row r="387">
          <cell r="N387"/>
        </row>
        <row r="388">
          <cell r="N388"/>
        </row>
        <row r="389">
          <cell r="N389"/>
        </row>
        <row r="390">
          <cell r="N390"/>
        </row>
        <row r="391">
          <cell r="N391"/>
        </row>
        <row r="392">
          <cell r="N392"/>
        </row>
        <row r="393">
          <cell r="N393"/>
        </row>
        <row r="394">
          <cell r="N394"/>
        </row>
        <row r="395">
          <cell r="N395"/>
        </row>
        <row r="396">
          <cell r="N396"/>
        </row>
        <row r="397">
          <cell r="N397"/>
        </row>
        <row r="398">
          <cell r="N398"/>
        </row>
        <row r="399">
          <cell r="N399"/>
        </row>
        <row r="400">
          <cell r="N400"/>
        </row>
        <row r="401">
          <cell r="N401"/>
        </row>
        <row r="402">
          <cell r="N402"/>
        </row>
        <row r="403">
          <cell r="N403"/>
        </row>
        <row r="404">
          <cell r="N404"/>
        </row>
        <row r="405">
          <cell r="N405"/>
        </row>
        <row r="406">
          <cell r="N406"/>
        </row>
        <row r="407">
          <cell r="N407"/>
        </row>
        <row r="408">
          <cell r="N408"/>
        </row>
        <row r="409">
          <cell r="N409"/>
        </row>
        <row r="410">
          <cell r="N410"/>
        </row>
        <row r="411">
          <cell r="N411"/>
        </row>
        <row r="412">
          <cell r="N412"/>
        </row>
        <row r="413">
          <cell r="N413"/>
        </row>
        <row r="414">
          <cell r="N414"/>
        </row>
        <row r="415">
          <cell r="N415"/>
        </row>
        <row r="416">
          <cell r="N416"/>
        </row>
        <row r="417">
          <cell r="N417"/>
        </row>
        <row r="418">
          <cell r="N418"/>
        </row>
        <row r="419">
          <cell r="N419"/>
        </row>
        <row r="420">
          <cell r="N420"/>
        </row>
        <row r="421">
          <cell r="N421"/>
        </row>
        <row r="422">
          <cell r="N422"/>
        </row>
        <row r="423">
          <cell r="N423"/>
        </row>
        <row r="424">
          <cell r="N424"/>
        </row>
        <row r="425">
          <cell r="N425"/>
        </row>
        <row r="426">
          <cell r="N426"/>
        </row>
        <row r="427">
          <cell r="N427"/>
        </row>
        <row r="428">
          <cell r="N428"/>
        </row>
        <row r="429">
          <cell r="N429"/>
        </row>
        <row r="430">
          <cell r="N430"/>
        </row>
        <row r="431">
          <cell r="N431"/>
        </row>
        <row r="432">
          <cell r="N432"/>
        </row>
        <row r="433">
          <cell r="N433"/>
        </row>
        <row r="434">
          <cell r="N434"/>
        </row>
        <row r="435">
          <cell r="N435"/>
        </row>
        <row r="436">
          <cell r="N436"/>
        </row>
        <row r="437">
          <cell r="N437"/>
        </row>
        <row r="438">
          <cell r="N438"/>
        </row>
        <row r="439">
          <cell r="N439"/>
        </row>
        <row r="440">
          <cell r="N440"/>
        </row>
        <row r="441">
          <cell r="N441"/>
        </row>
        <row r="442">
          <cell r="N442"/>
        </row>
        <row r="443">
          <cell r="N443"/>
        </row>
        <row r="444">
          <cell r="N444"/>
        </row>
        <row r="445">
          <cell r="N445"/>
        </row>
        <row r="446">
          <cell r="N446"/>
        </row>
        <row r="447">
          <cell r="N447"/>
        </row>
        <row r="448">
          <cell r="N448"/>
        </row>
        <row r="449">
          <cell r="N449"/>
        </row>
        <row r="450">
          <cell r="N450"/>
        </row>
        <row r="451">
          <cell r="N451"/>
        </row>
      </sheetData>
      <sheetData sheetId="2"/>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530614351854" createdVersion="8" refreshedVersion="8" minRefreshableVersion="3" recordCount="250" xr:uid="{91A62810-33B1-42FF-AC6D-BF5ACF6AAEF9}">
  <cacheSource type="worksheet">
    <worksheetSource name="Table2"/>
  </cacheSource>
  <cacheFields count="18">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olumn1" numFmtId="22">
      <sharedItems containsNonDate="0" containsString="0" containsBlank="1" count="1">
        <m/>
      </sharedItems>
    </cacheField>
    <cacheField name="Column2" numFmtId="0">
      <sharedItems containsNonDate="0" containsString="0" containsBlank="1"/>
    </cacheField>
    <cacheField name="Column3" numFmtId="14">
      <sharedItems containsBlank="1"/>
    </cacheField>
    <cacheField name="product quantity" numFmtId="0">
      <sharedItems containsSemiMixedTypes="0" containsString="0" containsNumber="1" containsInteger="1" minValue="0" maxValue="108"/>
    </cacheField>
  </cacheFields>
  <extLst>
    <ext xmlns:x14="http://schemas.microsoft.com/office/spreadsheetml/2009/9/main" uri="{725AE2AE-9491-48be-B2B4-4EB974FC3084}">
      <x14:pivotCacheDefinition pivotCacheId="14445283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536508912039" createdVersion="8" refreshedVersion="8" minRefreshableVersion="3" recordCount="1000" xr:uid="{5A1CB20E-073E-410A-8572-F460EDC1F28E}">
  <cacheSource type="worksheet">
    <worksheetSource ref="A1:O1048576" sheet="dataset"/>
  </cacheSource>
  <cacheFields count="15">
    <cacheField name="Transaction_ID" numFmtId="0">
      <sharedItems containsBlank="1"/>
    </cacheField>
    <cacheField name="Date" numFmtId="0">
      <sharedItems containsNonDate="0" containsDate="1" containsString="0" containsBlank="1" minDate="2024-04-11T00:00:00" maxDate="2025-04-12T00:00:00"/>
    </cacheField>
    <cacheField name="Customer_ID" numFmtId="0">
      <sharedItems containsBlank="1"/>
    </cacheField>
    <cacheField name="Customer_Name" numFmtId="0">
      <sharedItems containsBlank="1"/>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 name="month" numFmtId="0">
      <sharedItems containsBlank="1" count="13">
        <s v="Apr"/>
        <s v="May"/>
        <s v="Jun"/>
        <s v="Jul"/>
        <s v="Aug"/>
        <s v="Sep"/>
        <s v="Oct"/>
        <s v="Nov"/>
        <s v="Dec"/>
        <s v="Jan"/>
        <s v="Feb"/>
        <s v="Mar"/>
        <m/>
      </sharedItems>
    </cacheField>
  </cacheFields>
  <extLst>
    <ext xmlns:x14="http://schemas.microsoft.com/office/spreadsheetml/2009/9/main" uri="{725AE2AE-9491-48be-B2B4-4EB974FC3084}">
      <x14:pivotCacheDefinition pivotCacheId="1863096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x v="0"/>
    <n v="3"/>
    <n v="249.99"/>
    <s v="Cash"/>
    <x v="0"/>
    <s v="Basic"/>
    <d v="2021-08-17T00:00:00"/>
    <n v="749.97"/>
    <x v="0"/>
    <m/>
    <m/>
    <n v="98"/>
  </r>
  <r>
    <s v="TRX0023"/>
    <d v="2024-04-14T00:00:00"/>
    <s v="CUST013"/>
    <x v="1"/>
    <s v="P009"/>
    <s v="Monitor"/>
    <x v="0"/>
    <n v="3"/>
    <n v="249.99"/>
    <s v="Credit Card"/>
    <x v="0"/>
    <s v="Premium"/>
    <d v="2022-01-14T00:00:00"/>
    <n v="749.97"/>
    <x v="0"/>
    <m/>
    <m/>
    <n v="98"/>
  </r>
  <r>
    <s v="TRX0139"/>
    <d v="2024-04-17T00:00:00"/>
    <s v="CUST021"/>
    <x v="2"/>
    <s v="P005"/>
    <s v="Blender"/>
    <x v="1"/>
    <n v="3"/>
    <n v="59.99"/>
    <s v="PayPal"/>
    <x v="1"/>
    <s v="Standard"/>
    <d v="2023-12-02T00:00:00"/>
    <n v="179.97"/>
    <x v="0"/>
    <m/>
    <m/>
    <n v="108"/>
  </r>
  <r>
    <s v="TRX0043"/>
    <d v="2024-04-18T00:00:00"/>
    <s v="CUST046"/>
    <x v="3"/>
    <s v="P005"/>
    <s v="Blender"/>
    <x v="1"/>
    <n v="3"/>
    <n v="59.99"/>
    <s v="Cash"/>
    <x v="2"/>
    <s v="Premium"/>
    <d v="2023-07-07T00:00:00"/>
    <n v="179.97"/>
    <x v="0"/>
    <m/>
    <m/>
    <n v="98"/>
  </r>
  <r>
    <s v="TRX0212"/>
    <d v="2024-04-18T00:00:00"/>
    <s v="CUST003"/>
    <x v="4"/>
    <s v="P008"/>
    <s v="Bookshelf"/>
    <x v="2"/>
    <n v="5"/>
    <n v="149.99"/>
    <s v="Credit Card"/>
    <x v="2"/>
    <s v="Premium"/>
    <d v="2024-01-04T00:00:00"/>
    <n v="749.95"/>
    <x v="0"/>
    <m/>
    <m/>
    <n v="48"/>
  </r>
  <r>
    <s v="TRX0092"/>
    <d v="2024-04-21T00:00:00"/>
    <s v="CUST024"/>
    <x v="5"/>
    <s v="P005"/>
    <s v="Blender"/>
    <x v="1"/>
    <n v="2"/>
    <n v="59.99"/>
    <s v="Cash"/>
    <x v="3"/>
    <s v="Standard"/>
    <d v="2022-07-04T00:00:00"/>
    <n v="119.98"/>
    <x v="0"/>
    <m/>
    <m/>
    <n v="98"/>
  </r>
  <r>
    <s v="TRX0193"/>
    <d v="2024-04-21T00:00:00"/>
    <s v="CUST024"/>
    <x v="5"/>
    <s v="P003"/>
    <s v="Headphones"/>
    <x v="0"/>
    <n v="5"/>
    <n v="149.99"/>
    <s v="Credit Card"/>
    <x v="0"/>
    <s v="Standard"/>
    <d v="2021-08-10T00:00:00"/>
    <n v="749.95"/>
    <x v="0"/>
    <m/>
    <s v="A"/>
    <n v="67"/>
  </r>
  <r>
    <s v="TRX0240"/>
    <d v="2024-04-21T00:00:00"/>
    <s v="CUST017"/>
    <x v="6"/>
    <s v="P005"/>
    <s v="Blender"/>
    <x v="1"/>
    <n v="3"/>
    <n v="59.99"/>
    <s v="Debit Card"/>
    <x v="1"/>
    <s v="Basic"/>
    <d v="2023-03-22T00:00:00"/>
    <n v="179.97"/>
    <x v="0"/>
    <m/>
    <m/>
    <n v="98"/>
  </r>
  <r>
    <s v="TRX0135"/>
    <d v="2024-04-23T00:00:00"/>
    <s v="CUST009"/>
    <x v="7"/>
    <s v="P001"/>
    <s v="Laptop"/>
    <x v="0"/>
    <n v="3"/>
    <n v="899.99"/>
    <s v="PayPal"/>
    <x v="4"/>
    <s v="Standard"/>
    <d v="2024-01-08T00:00:00"/>
    <n v="2699.97"/>
    <x v="0"/>
    <m/>
    <m/>
    <n v="108"/>
  </r>
  <r>
    <s v="TRX0185"/>
    <d v="2024-04-26T00:00:00"/>
    <s v="CUST026"/>
    <x v="8"/>
    <s v="P005"/>
    <s v="Blender"/>
    <x v="1"/>
    <n v="3"/>
    <n v="59.99"/>
    <s v="Cash"/>
    <x v="3"/>
    <s v="Premium"/>
    <d v="2023-10-08T00:00:00"/>
    <n v="179.97"/>
    <x v="0"/>
    <m/>
    <m/>
    <n v="108"/>
  </r>
  <r>
    <s v="TRX0138"/>
    <d v="2024-04-26T00:00:00"/>
    <s v="CUST022"/>
    <x v="9"/>
    <s v="P008"/>
    <s v="Bookshelf"/>
    <x v="2"/>
    <n v="1"/>
    <n v="149.99"/>
    <s v="Credit Card"/>
    <x v="3"/>
    <s v="Standard"/>
    <d v="2023-06-26T00:00:00"/>
    <n v="149.99"/>
    <x v="0"/>
    <m/>
    <m/>
    <n v="108"/>
  </r>
  <r>
    <s v="TRX0209"/>
    <d v="2024-04-26T00:00:00"/>
    <s v="CUST046"/>
    <x v="3"/>
    <s v="P008"/>
    <s v="Bookshelf"/>
    <x v="2"/>
    <n v="5"/>
    <n v="149.99"/>
    <s v="Debit Card"/>
    <x v="2"/>
    <s v="Basic"/>
    <d v="2022-09-26T00:00:00"/>
    <n v="749.95"/>
    <x v="0"/>
    <m/>
    <m/>
    <n v="98"/>
  </r>
  <r>
    <s v="TRX0246"/>
    <d v="2024-04-26T00:00:00"/>
    <s v="CUST041"/>
    <x v="10"/>
    <s v="P008"/>
    <s v="Bookshelf"/>
    <x v="2"/>
    <n v="3"/>
    <n v="149.99"/>
    <s v="Cash"/>
    <x v="2"/>
    <s v="Premium"/>
    <d v="2022-09-02T00:00:00"/>
    <n v="449.97"/>
    <x v="0"/>
    <m/>
    <m/>
    <n v="84"/>
  </r>
  <r>
    <s v="TRX0067"/>
    <d v="2024-04-27T00:00:00"/>
    <s v="CUST043"/>
    <x v="11"/>
    <s v="P005"/>
    <s v="Blender"/>
    <x v="1"/>
    <n v="3"/>
    <n v="59.99"/>
    <s v="Credit Card"/>
    <x v="2"/>
    <s v="Standard"/>
    <d v="2024-02-29T00:00:00"/>
    <n v="179.97"/>
    <x v="0"/>
    <m/>
    <m/>
    <n v="67"/>
  </r>
  <r>
    <s v="TRX0191"/>
    <d v="2024-04-27T00:00:00"/>
    <s v="CUST038"/>
    <x v="12"/>
    <s v="P002"/>
    <s v="Smartphone"/>
    <x v="0"/>
    <n v="3"/>
    <n v="699.99"/>
    <s v="Credit Card"/>
    <x v="3"/>
    <s v="Basic"/>
    <d v="2022-01-16T00:00:00"/>
    <n v="2099.9699999999998"/>
    <x v="0"/>
    <m/>
    <m/>
    <n v="108"/>
  </r>
  <r>
    <s v="TRX0230"/>
    <d v="2024-04-27T00:00:00"/>
    <s v="CUST027"/>
    <x v="13"/>
    <s v="P001"/>
    <s v="Laptop"/>
    <x v="0"/>
    <n v="1"/>
    <n v="899.99"/>
    <s v="Debit Card"/>
    <x v="2"/>
    <s v="Standard"/>
    <d v="2022-12-25T00:00:00"/>
    <n v="899.99"/>
    <x v="0"/>
    <m/>
    <m/>
    <n v="84"/>
  </r>
  <r>
    <s v="TRX0049"/>
    <d v="2024-04-28T00:00:00"/>
    <s v="CUST025"/>
    <x v="14"/>
    <s v="P008"/>
    <s v="Bookshelf"/>
    <x v="2"/>
    <n v="4"/>
    <n v="149.99"/>
    <s v="Debit Card"/>
    <x v="2"/>
    <s v="Premium"/>
    <d v="2024-03-23T00:00:00"/>
    <n v="599.96"/>
    <x v="0"/>
    <m/>
    <m/>
    <n v="67"/>
  </r>
  <r>
    <s v="TRX0134"/>
    <d v="2024-04-28T00:00:00"/>
    <s v="CUST010"/>
    <x v="15"/>
    <s v="P002"/>
    <s v="Smartphone"/>
    <x v="0"/>
    <n v="2"/>
    <n v="699.99"/>
    <s v="Cash"/>
    <x v="2"/>
    <s v="Basic"/>
    <d v="2022-08-08T00:00:00"/>
    <n v="1399.98"/>
    <x v="0"/>
    <m/>
    <m/>
    <n v="86"/>
  </r>
  <r>
    <s v="TRX0122"/>
    <d v="2024-04-28T00:00:00"/>
    <s v="CUST025"/>
    <x v="14"/>
    <s v="P001"/>
    <s v="Laptop"/>
    <x v="0"/>
    <n v="4"/>
    <n v="899.99"/>
    <s v="Credit Card"/>
    <x v="3"/>
    <s v="Standard"/>
    <d v="2024-02-05T00:00:00"/>
    <n v="3599.96"/>
    <x v="0"/>
    <m/>
    <m/>
    <n v="84"/>
  </r>
  <r>
    <s v="TRX0222"/>
    <d v="2024-04-28T00:00:00"/>
    <s v="CUST048"/>
    <x v="16"/>
    <s v="P009"/>
    <s v="Monitor"/>
    <x v="0"/>
    <n v="3"/>
    <n v="249.99"/>
    <s v="Credit Card"/>
    <x v="2"/>
    <s v="Premium"/>
    <d v="2023-10-25T00:00:00"/>
    <n v="749.97"/>
    <x v="0"/>
    <m/>
    <m/>
    <n v="84"/>
  </r>
  <r>
    <s v="TRX0231"/>
    <d v="2024-04-30T00:00:00"/>
    <s v="CUST018"/>
    <x v="17"/>
    <s v="P002"/>
    <s v="Smartphone"/>
    <x v="0"/>
    <n v="5"/>
    <n v="699.99"/>
    <s v="Cash"/>
    <x v="3"/>
    <s v="Basic"/>
    <d v="2023-08-29T00:00:00"/>
    <n v="3499.95"/>
    <x v="0"/>
    <m/>
    <m/>
    <n v="86"/>
  </r>
  <r>
    <s v="TRX0239"/>
    <d v="2024-05-01T00:00:00"/>
    <s v="CUST012"/>
    <x v="18"/>
    <s v="P002"/>
    <s v="Smartphone"/>
    <x v="0"/>
    <n v="4"/>
    <n v="699.99"/>
    <s v="Cash"/>
    <x v="4"/>
    <s v="Standard"/>
    <d v="2021-08-01T00:00:00"/>
    <n v="2799.96"/>
    <x v="0"/>
    <m/>
    <m/>
    <n v="67"/>
  </r>
  <r>
    <s v="TRX0204"/>
    <d v="2024-05-03T00:00:00"/>
    <s v="CUST044"/>
    <x v="19"/>
    <s v="P009"/>
    <s v="Monitor"/>
    <x v="0"/>
    <n v="4"/>
    <n v="249.99"/>
    <s v="PayPal"/>
    <x v="2"/>
    <s v="Standard"/>
    <d v="2021-09-29T00:00:00"/>
    <n v="999.96"/>
    <x v="0"/>
    <m/>
    <m/>
    <n v="86"/>
  </r>
  <r>
    <s v="TRX0242"/>
    <d v="2024-05-04T00:00:00"/>
    <s v="CUST025"/>
    <x v="14"/>
    <s v="P007"/>
    <s v="Desk"/>
    <x v="2"/>
    <n v="4"/>
    <n v="299.99"/>
    <s v="Cash"/>
    <x v="3"/>
    <s v="Premium"/>
    <d v="2022-06-04T00:00:00"/>
    <n v="1199.96"/>
    <x v="0"/>
    <m/>
    <m/>
    <n v="67"/>
  </r>
  <r>
    <s v="TRX0071"/>
    <d v="2024-05-10T00:00:00"/>
    <s v="CUST036"/>
    <x v="20"/>
    <s v="P009"/>
    <s v="Monitor"/>
    <x v="0"/>
    <n v="5"/>
    <n v="249.99"/>
    <s v="Credit Card"/>
    <x v="3"/>
    <s v="Standard"/>
    <d v="2021-11-25T00:00:00"/>
    <n v="1249.95"/>
    <x v="0"/>
    <m/>
    <m/>
    <n v="50"/>
  </r>
  <r>
    <s v="TRX0040"/>
    <d v="2024-05-12T00:00:00"/>
    <s v="CUST022"/>
    <x v="9"/>
    <s v="P007"/>
    <s v="Desk"/>
    <x v="2"/>
    <n v="5"/>
    <n v="299.99"/>
    <s v="PayPal"/>
    <x v="4"/>
    <s v="Basic"/>
    <d v="2023-08-30T00:00:00"/>
    <n v="1499.95"/>
    <x v="0"/>
    <m/>
    <m/>
    <n v="99"/>
  </r>
  <r>
    <s v="TRX0235"/>
    <d v="2024-05-12T00:00:00"/>
    <s v="CUST014"/>
    <x v="21"/>
    <s v="P004"/>
    <s v="Coffee Maker"/>
    <x v="1"/>
    <n v="3"/>
    <n v="79.989999999999995"/>
    <s v="PayPal"/>
    <x v="4"/>
    <s v="Premium"/>
    <d v="2023-03-27T00:00:00"/>
    <n v="239.97"/>
    <x v="0"/>
    <m/>
    <m/>
    <n v="98"/>
  </r>
  <r>
    <s v="TRX0004"/>
    <d v="2024-05-12T00:00:00"/>
    <s v="CUST012"/>
    <x v="18"/>
    <s v="P010"/>
    <s v="Keyboard"/>
    <x v="0"/>
    <n v="5"/>
    <n v="89.99"/>
    <s v="Cash"/>
    <x v="2"/>
    <s v="Premium"/>
    <d v="2022-12-24T00:00:00"/>
    <n v="449.95"/>
    <x v="0"/>
    <m/>
    <m/>
    <n v="98"/>
  </r>
  <r>
    <s v="TRX0063"/>
    <d v="2024-05-13T00:00:00"/>
    <s v="CUST030"/>
    <x v="22"/>
    <s v="P005"/>
    <s v="Blender"/>
    <x v="1"/>
    <n v="2"/>
    <n v="59.99"/>
    <s v="Debit Card"/>
    <x v="0"/>
    <s v="Standard"/>
    <d v="2023-10-15T00:00:00"/>
    <n v="119.98"/>
    <x v="0"/>
    <m/>
    <m/>
    <n v="43"/>
  </r>
  <r>
    <s v="TRX0241"/>
    <d v="2024-05-15T00:00:00"/>
    <s v="CUST029"/>
    <x v="23"/>
    <s v="P005"/>
    <s v="Blender"/>
    <x v="1"/>
    <n v="4"/>
    <n v="59.99"/>
    <s v="Debit Card"/>
    <x v="4"/>
    <s v="Standard"/>
    <d v="2022-11-02T00:00:00"/>
    <n v="239.96"/>
    <x v="0"/>
    <m/>
    <m/>
    <n v="108"/>
  </r>
  <r>
    <s v="TRX0029"/>
    <d v="2024-05-15T00:00:00"/>
    <s v="CUST017"/>
    <x v="6"/>
    <s v="P006"/>
    <s v="Office Chair"/>
    <x v="2"/>
    <n v="5"/>
    <n v="199.99"/>
    <s v="Cash"/>
    <x v="1"/>
    <s v="Standard"/>
    <d v="2021-08-04T00:00:00"/>
    <n v="999.95"/>
    <x v="0"/>
    <m/>
    <m/>
    <n v="108"/>
  </r>
  <r>
    <s v="TRX0194"/>
    <d v="2024-05-16T00:00:00"/>
    <s v="CUST006"/>
    <x v="24"/>
    <s v="P008"/>
    <s v="Bookshelf"/>
    <x v="2"/>
    <n v="2"/>
    <n v="149.99"/>
    <s v="Credit Card"/>
    <x v="3"/>
    <s v="Basic"/>
    <d v="2022-09-19T00:00:00"/>
    <n v="299.98"/>
    <x v="0"/>
    <m/>
    <m/>
    <n v="67"/>
  </r>
  <r>
    <s v="TRX0130"/>
    <d v="2024-05-18T00:00:00"/>
    <s v="CUST002"/>
    <x v="25"/>
    <s v="P008"/>
    <s v="Bookshelf"/>
    <x v="2"/>
    <n v="3"/>
    <n v="149.99"/>
    <s v="Credit Card"/>
    <x v="3"/>
    <s v="Premium"/>
    <d v="2023-05-22T00:00:00"/>
    <n v="449.97"/>
    <x v="0"/>
    <m/>
    <m/>
    <n v="67"/>
  </r>
  <r>
    <s v="TRX0041"/>
    <d v="2024-05-20T00:00:00"/>
    <s v="CUST021"/>
    <x v="2"/>
    <s v="P001"/>
    <s v="Laptop"/>
    <x v="0"/>
    <n v="1"/>
    <n v="899.99"/>
    <s v="Credit Card"/>
    <x v="3"/>
    <s v="Premium"/>
    <d v="2022-01-17T00:00:00"/>
    <n v="899.99"/>
    <x v="0"/>
    <m/>
    <m/>
    <n v="50"/>
  </r>
  <r>
    <s v="TRX0232"/>
    <d v="2024-05-22T00:00:00"/>
    <s v="CUST012"/>
    <x v="18"/>
    <s v="P007"/>
    <s v="Desk"/>
    <x v="2"/>
    <n v="3"/>
    <n v="299.99"/>
    <s v="Credit Card"/>
    <x v="4"/>
    <s v="Basic"/>
    <d v="2022-09-20T00:00:00"/>
    <n v="899.97"/>
    <x v="0"/>
    <m/>
    <m/>
    <n v="43"/>
  </r>
  <r>
    <s v="TRX0021"/>
    <d v="2024-05-23T00:00:00"/>
    <s v="CUST006"/>
    <x v="24"/>
    <s v="P004"/>
    <s v="Coffee Maker"/>
    <x v="1"/>
    <n v="3"/>
    <n v="79.989999999999995"/>
    <s v="Cash"/>
    <x v="1"/>
    <s v="Basic"/>
    <d v="2023-04-30T00:00:00"/>
    <n v="239.97"/>
    <x v="0"/>
    <m/>
    <m/>
    <n v="84"/>
  </r>
  <r>
    <s v="TRX0245"/>
    <d v="2024-05-26T00:00:00"/>
    <s v="CUST031"/>
    <x v="26"/>
    <s v="P006"/>
    <s v="Office Chair"/>
    <x v="2"/>
    <n v="3"/>
    <n v="199.99"/>
    <s v="Credit Card"/>
    <x v="2"/>
    <s v="Premium"/>
    <d v="2024-01-01T00:00:00"/>
    <n v="599.97"/>
    <x v="0"/>
    <m/>
    <m/>
    <n v="99"/>
  </r>
  <r>
    <s v="TRX0015"/>
    <d v="2024-05-28T00:00:00"/>
    <s v="CUST008"/>
    <x v="27"/>
    <s v="P002"/>
    <s v="Smartphone"/>
    <x v="0"/>
    <n v="5"/>
    <n v="699.99"/>
    <s v="PayPal"/>
    <x v="3"/>
    <s v="Standard"/>
    <d v="2021-07-30T00:00:00"/>
    <n v="3499.95"/>
    <x v="0"/>
    <m/>
    <m/>
    <n v="50"/>
  </r>
  <r>
    <s v="TRX0202"/>
    <d v="2024-05-29T00:00:00"/>
    <s v="CUST035"/>
    <x v="28"/>
    <s v="P010"/>
    <s v="Keyboard"/>
    <x v="0"/>
    <n v="3"/>
    <n v="89.99"/>
    <s v="PayPal"/>
    <x v="0"/>
    <s v="Premium"/>
    <d v="2023-07-13T00:00:00"/>
    <n v="269.97000000000003"/>
    <x v="0"/>
    <m/>
    <m/>
    <n v="98"/>
  </r>
  <r>
    <s v="TRX0042"/>
    <d v="2024-05-31T00:00:00"/>
    <s v="CUST019"/>
    <x v="29"/>
    <s v="P004"/>
    <s v="Coffee Maker"/>
    <x v="1"/>
    <n v="1"/>
    <n v="79.989999999999995"/>
    <s v="Cash"/>
    <x v="2"/>
    <s v="Standard"/>
    <d v="2022-12-22T00:00:00"/>
    <n v="79.989999999999995"/>
    <x v="0"/>
    <m/>
    <m/>
    <n v="99"/>
  </r>
  <r>
    <s v="TRX0128"/>
    <d v="2024-06-01T00:00:00"/>
    <s v="CUST040"/>
    <x v="30"/>
    <s v="P005"/>
    <s v="Blender"/>
    <x v="1"/>
    <n v="2"/>
    <n v="59.99"/>
    <s v="Cash"/>
    <x v="3"/>
    <s v="Basic"/>
    <d v="2024-04-08T00:00:00"/>
    <n v="119.98"/>
    <x v="0"/>
    <m/>
    <m/>
    <n v="99"/>
  </r>
  <r>
    <s v="TRX0117"/>
    <d v="2024-06-01T00:00:00"/>
    <s v="CUST017"/>
    <x v="6"/>
    <s v="P010"/>
    <s v="Keyboard"/>
    <x v="0"/>
    <n v="1"/>
    <n v="89.99"/>
    <s v="Cash"/>
    <x v="2"/>
    <s v="Basic"/>
    <d v="2023-08-03T00:00:00"/>
    <n v="89.99"/>
    <x v="0"/>
    <m/>
    <m/>
    <n v="86"/>
  </r>
  <r>
    <s v="TRX0208"/>
    <d v="2024-06-03T00:00:00"/>
    <s v="CUST004"/>
    <x v="31"/>
    <s v="P010"/>
    <s v="Keyboard"/>
    <x v="0"/>
    <n v="5"/>
    <n v="89.99"/>
    <s v="Credit Card"/>
    <x v="4"/>
    <s v="Standard"/>
    <d v="2022-01-26T00:00:00"/>
    <n v="449.95"/>
    <x v="0"/>
    <m/>
    <m/>
    <n v="99"/>
  </r>
  <r>
    <s v="TRX0234"/>
    <d v="2024-06-06T00:00:00"/>
    <s v="CUST013"/>
    <x v="1"/>
    <s v="P009"/>
    <s v="Monitor"/>
    <x v="0"/>
    <n v="5"/>
    <n v="249.99"/>
    <s v="Credit Card"/>
    <x v="4"/>
    <s v="Standard"/>
    <d v="2022-05-26T00:00:00"/>
    <n v="1249.95"/>
    <x v="0"/>
    <m/>
    <m/>
    <n v="108"/>
  </r>
  <r>
    <s v="TRX0121"/>
    <d v="2024-06-06T00:00:00"/>
    <s v="CUST028"/>
    <x v="32"/>
    <s v="P010"/>
    <s v="Keyboard"/>
    <x v="0"/>
    <n v="1"/>
    <n v="89.99"/>
    <s v="Credit Card"/>
    <x v="1"/>
    <s v="Standard"/>
    <d v="2022-01-21T00:00:00"/>
    <n v="89.99"/>
    <x v="0"/>
    <m/>
    <m/>
    <n v="98"/>
  </r>
  <r>
    <s v="TRX0220"/>
    <d v="2024-06-07T00:00:00"/>
    <s v="CUST003"/>
    <x v="4"/>
    <s v="P008"/>
    <s v="Bookshelf"/>
    <x v="2"/>
    <n v="2"/>
    <n v="149.99"/>
    <s v="Cash"/>
    <x v="4"/>
    <s v="Premium"/>
    <d v="2022-03-25T00:00:00"/>
    <n v="299.98"/>
    <x v="0"/>
    <m/>
    <m/>
    <n v="99"/>
  </r>
  <r>
    <s v="TRX0093"/>
    <d v="2024-06-09T00:00:00"/>
    <s v="CUST050"/>
    <x v="33"/>
    <s v="P005"/>
    <s v="Blender"/>
    <x v="1"/>
    <n v="4"/>
    <n v="59.99"/>
    <s v="Cash"/>
    <x v="4"/>
    <s v="Standard"/>
    <d v="2021-08-27T00:00:00"/>
    <n v="239.96"/>
    <x v="0"/>
    <m/>
    <m/>
    <n v="99"/>
  </r>
  <r>
    <s v="TRX0088"/>
    <d v="2024-06-13T00:00:00"/>
    <s v="CUST006"/>
    <x v="24"/>
    <s v="P010"/>
    <s v="Keyboard"/>
    <x v="0"/>
    <n v="5"/>
    <n v="89.99"/>
    <s v="Cash"/>
    <x v="0"/>
    <s v="Premium"/>
    <d v="2022-01-18T00:00:00"/>
    <n v="449.95"/>
    <x v="0"/>
    <m/>
    <m/>
    <n v="67"/>
  </r>
  <r>
    <s v="TRX0115"/>
    <d v="2024-06-16T00:00:00"/>
    <s v="CUST012"/>
    <x v="18"/>
    <s v="P010"/>
    <s v="Keyboard"/>
    <x v="0"/>
    <n v="2"/>
    <n v="89.99"/>
    <s v="Credit Card"/>
    <x v="1"/>
    <s v="Premium"/>
    <d v="2021-10-02T00:00:00"/>
    <n v="179.98"/>
    <x v="0"/>
    <m/>
    <m/>
    <n v="67"/>
  </r>
  <r>
    <s v="TRX0154"/>
    <d v="2024-06-16T00:00:00"/>
    <s v="CUST023"/>
    <x v="0"/>
    <s v="P001"/>
    <s v="Laptop"/>
    <x v="0"/>
    <n v="5"/>
    <n v="899.99"/>
    <s v="Credit Card"/>
    <x v="1"/>
    <s v="Standard"/>
    <d v="2023-02-17T00:00:00"/>
    <n v="4499.95"/>
    <x v="0"/>
    <m/>
    <m/>
    <n v="98"/>
  </r>
  <r>
    <s v="TRX0044"/>
    <d v="2024-06-16T00:00:00"/>
    <s v="CUST029"/>
    <x v="23"/>
    <s v="P001"/>
    <s v="Laptop"/>
    <x v="0"/>
    <n v="5"/>
    <n v="899.99"/>
    <s v="PayPal"/>
    <x v="4"/>
    <s v="Premium"/>
    <d v="2023-12-18T00:00:00"/>
    <n v="4499.95"/>
    <x v="0"/>
    <m/>
    <m/>
    <n v="67"/>
  </r>
  <r>
    <s v="TRX0061"/>
    <d v="2024-06-17T00:00:00"/>
    <s v="CUST028"/>
    <x v="32"/>
    <s v="P005"/>
    <s v="Blender"/>
    <x v="1"/>
    <n v="1"/>
    <n v="59.99"/>
    <s v="Debit Card"/>
    <x v="3"/>
    <s v="Premium"/>
    <d v="2023-09-21T00:00:00"/>
    <n v="59.99"/>
    <x v="0"/>
    <m/>
    <m/>
    <n v="99"/>
  </r>
  <r>
    <s v="TRX0150"/>
    <d v="2024-06-17T00:00:00"/>
    <s v="CUST008"/>
    <x v="27"/>
    <s v="P007"/>
    <s v="Desk"/>
    <x v="2"/>
    <n v="2"/>
    <n v="299.99"/>
    <s v="Debit Card"/>
    <x v="4"/>
    <s v="Standard"/>
    <d v="2023-11-23T00:00:00"/>
    <n v="599.98"/>
    <x v="0"/>
    <m/>
    <m/>
    <n v="50"/>
  </r>
  <r>
    <s v="TRX0025"/>
    <d v="2024-06-25T00:00:00"/>
    <s v="CUST049"/>
    <x v="34"/>
    <s v="P010"/>
    <s v="Keyboard"/>
    <x v="0"/>
    <n v="4"/>
    <n v="89.99"/>
    <s v="Debit Card"/>
    <x v="1"/>
    <s v="Basic"/>
    <d v="2023-12-21T00:00:00"/>
    <n v="359.96"/>
    <x v="0"/>
    <m/>
    <m/>
    <n v="99"/>
  </r>
  <r>
    <s v="TRX0078"/>
    <d v="2024-06-26T00:00:00"/>
    <s v="CUST021"/>
    <x v="2"/>
    <s v="P004"/>
    <s v="Coffee Maker"/>
    <x v="1"/>
    <n v="1"/>
    <n v="79.989999999999995"/>
    <s v="PayPal"/>
    <x v="0"/>
    <s v="Premium"/>
    <d v="2024-03-01T00:00:00"/>
    <n v="79.989999999999995"/>
    <x v="0"/>
    <m/>
    <m/>
    <n v="84"/>
  </r>
  <r>
    <s v="TRX0007"/>
    <d v="2024-06-26T00:00:00"/>
    <s v="CUST009"/>
    <x v="7"/>
    <s v="P010"/>
    <s v="Keyboard"/>
    <x v="0"/>
    <n v="2"/>
    <n v="89.99"/>
    <s v="Cash"/>
    <x v="3"/>
    <s v="Basic"/>
    <d v="2021-08-30T00:00:00"/>
    <n v="179.98"/>
    <x v="0"/>
    <m/>
    <m/>
    <n v="67"/>
  </r>
  <r>
    <s v="TRX0184"/>
    <d v="2024-06-28T00:00:00"/>
    <s v="CUST046"/>
    <x v="3"/>
    <s v="P002"/>
    <s v="Smartphone"/>
    <x v="0"/>
    <n v="3"/>
    <n v="699.99"/>
    <s v="Credit Card"/>
    <x v="4"/>
    <s v="Premium"/>
    <d v="2023-06-25T00:00:00"/>
    <n v="2099.9699999999998"/>
    <x v="0"/>
    <m/>
    <m/>
    <n v="108"/>
  </r>
  <r>
    <s v="TRX0104"/>
    <d v="2024-06-28T00:00:00"/>
    <s v="CUST012"/>
    <x v="18"/>
    <s v="P001"/>
    <s v="Laptop"/>
    <x v="0"/>
    <n v="4"/>
    <n v="899.99"/>
    <s v="Credit Card"/>
    <x v="4"/>
    <s v="Premium"/>
    <d v="2023-03-08T00:00:00"/>
    <n v="3599.96"/>
    <x v="0"/>
    <m/>
    <m/>
    <n v="99"/>
  </r>
  <r>
    <s v="TRX0127"/>
    <d v="2024-06-29T00:00:00"/>
    <s v="CUST030"/>
    <x v="22"/>
    <s v="P008"/>
    <s v="Bookshelf"/>
    <x v="2"/>
    <n v="1"/>
    <n v="149.99"/>
    <s v="PayPal"/>
    <x v="4"/>
    <s v="Basic"/>
    <d v="2022-10-17T00:00:00"/>
    <n v="149.99"/>
    <x v="0"/>
    <m/>
    <m/>
    <n v="99"/>
  </r>
  <r>
    <s v="TRX0096"/>
    <d v="2024-07-01T00:00:00"/>
    <s v="CUST002"/>
    <x v="25"/>
    <s v="P010"/>
    <s v="Keyboard"/>
    <x v="0"/>
    <n v="2"/>
    <n v="89.99"/>
    <s v="PayPal"/>
    <x v="0"/>
    <s v="Premium"/>
    <d v="2023-12-15T00:00:00"/>
    <n v="179.98"/>
    <x v="0"/>
    <m/>
    <m/>
    <n v="99"/>
  </r>
  <r>
    <s v="TRX0192"/>
    <d v="2024-07-02T00:00:00"/>
    <s v="CUST017"/>
    <x v="6"/>
    <s v="P010"/>
    <s v="Keyboard"/>
    <x v="0"/>
    <n v="1"/>
    <n v="89.99"/>
    <s v="PayPal"/>
    <x v="3"/>
    <s v="Standard"/>
    <d v="2022-08-29T00:00:00"/>
    <n v="89.99"/>
    <x v="0"/>
    <m/>
    <m/>
    <n v="50"/>
  </r>
  <r>
    <s v="TRX0052"/>
    <d v="2024-07-03T00:00:00"/>
    <s v="CUST022"/>
    <x v="9"/>
    <s v="P010"/>
    <s v="Keyboard"/>
    <x v="0"/>
    <n v="1"/>
    <n v="89.99"/>
    <s v="Cash"/>
    <x v="1"/>
    <s v="Standard"/>
    <d v="2022-02-19T00:00:00"/>
    <n v="89.99"/>
    <x v="0"/>
    <m/>
    <m/>
    <n v="108"/>
  </r>
  <r>
    <s v="TRX0070"/>
    <d v="2024-07-03T00:00:00"/>
    <s v="CUST007"/>
    <x v="35"/>
    <s v="P004"/>
    <s v="Coffee Maker"/>
    <x v="1"/>
    <n v="5"/>
    <n v="79.989999999999995"/>
    <s v="Debit Card"/>
    <x v="0"/>
    <s v="Basic"/>
    <d v="2023-02-24T00:00:00"/>
    <n v="399.95"/>
    <x v="0"/>
    <m/>
    <m/>
    <n v="84"/>
  </r>
  <r>
    <s v="TRX0086"/>
    <d v="2024-07-08T00:00:00"/>
    <s v="CUST020"/>
    <x v="36"/>
    <s v="P008"/>
    <s v="Bookshelf"/>
    <x v="2"/>
    <n v="1"/>
    <n v="149.99"/>
    <s v="PayPal"/>
    <x v="2"/>
    <s v="Basic"/>
    <d v="2021-08-13T00:00:00"/>
    <n v="149.99"/>
    <x v="0"/>
    <m/>
    <m/>
    <n v="99"/>
  </r>
  <r>
    <s v="TRX0113"/>
    <d v="2024-07-08T00:00:00"/>
    <s v="CUST003"/>
    <x v="4"/>
    <s v="P002"/>
    <s v="Smartphone"/>
    <x v="0"/>
    <n v="2"/>
    <n v="699.99"/>
    <s v="PayPal"/>
    <x v="4"/>
    <s v="Premium"/>
    <d v="2024-04-07T00:00:00"/>
    <n v="1399.98"/>
    <x v="0"/>
    <m/>
    <m/>
    <n v="98"/>
  </r>
  <r>
    <s v="TRX0114"/>
    <d v="2024-07-08T00:00:00"/>
    <s v="CUST018"/>
    <x v="17"/>
    <s v="P010"/>
    <s v="Keyboard"/>
    <x v="0"/>
    <n v="5"/>
    <n v="89.99"/>
    <s v="Debit Card"/>
    <x v="2"/>
    <s v="Premium"/>
    <d v="2023-08-23T00:00:00"/>
    <n v="449.95"/>
    <x v="0"/>
    <m/>
    <m/>
    <n v="48"/>
  </r>
  <r>
    <s v="TRX0136"/>
    <d v="2024-07-09T00:00:00"/>
    <s v="CUST049"/>
    <x v="34"/>
    <s v="P005"/>
    <s v="Blender"/>
    <x v="1"/>
    <n v="4"/>
    <n v="59.99"/>
    <s v="Cash"/>
    <x v="1"/>
    <s v="Standard"/>
    <d v="2021-11-09T00:00:00"/>
    <n v="239.96"/>
    <x v="0"/>
    <m/>
    <m/>
    <n v="67"/>
  </r>
  <r>
    <s v="TRX0018"/>
    <d v="2024-07-11T00:00:00"/>
    <s v="CUST013"/>
    <x v="1"/>
    <s v="P003"/>
    <s v="Headphones"/>
    <x v="0"/>
    <n v="1"/>
    <n v="149.99"/>
    <s v="Cash"/>
    <x v="0"/>
    <s v="Standard"/>
    <d v="2022-12-14T00:00:00"/>
    <n v="149.99"/>
    <x v="0"/>
    <m/>
    <m/>
    <n v="43"/>
  </r>
  <r>
    <s v="TRX0141"/>
    <d v="2024-07-11T00:00:00"/>
    <s v="CUST033"/>
    <x v="37"/>
    <s v="P007"/>
    <s v="Desk"/>
    <x v="2"/>
    <n v="1"/>
    <n v="299.99"/>
    <s v="Credit Card"/>
    <x v="2"/>
    <s v="Premium"/>
    <d v="2022-11-26T00:00:00"/>
    <n v="299.99"/>
    <x v="0"/>
    <m/>
    <m/>
    <n v="98"/>
  </r>
  <r>
    <s v="TRX0097"/>
    <d v="2024-07-14T00:00:00"/>
    <s v="CUST033"/>
    <x v="37"/>
    <s v="P006"/>
    <s v="Office Chair"/>
    <x v="2"/>
    <n v="2"/>
    <n v="199.99"/>
    <s v="Cash"/>
    <x v="2"/>
    <s v="Basic"/>
    <d v="2021-12-11T00:00:00"/>
    <n v="399.98"/>
    <x v="0"/>
    <m/>
    <m/>
    <n v="108"/>
  </r>
  <r>
    <s v="TRX0169"/>
    <d v="2024-07-17T00:00:00"/>
    <s v="CUST047"/>
    <x v="38"/>
    <s v="P005"/>
    <s v="Blender"/>
    <x v="1"/>
    <n v="3"/>
    <n v="59.99"/>
    <s v="Credit Card"/>
    <x v="3"/>
    <s v="Basic"/>
    <d v="2023-07-23T00:00:00"/>
    <n v="179.97"/>
    <x v="0"/>
    <m/>
    <m/>
    <n v="43"/>
  </r>
  <r>
    <s v="TRX0216"/>
    <d v="2024-07-17T00:00:00"/>
    <s v="CUST041"/>
    <x v="10"/>
    <s v="P008"/>
    <s v="Bookshelf"/>
    <x v="2"/>
    <n v="3"/>
    <n v="149.99"/>
    <s v="Cash"/>
    <x v="0"/>
    <s v="Premium"/>
    <d v="2023-09-30T00:00:00"/>
    <n v="449.97"/>
    <x v="0"/>
    <m/>
    <m/>
    <n v="67"/>
  </r>
  <r>
    <s v="TRX0131"/>
    <d v="2024-07-18T00:00:00"/>
    <s v="CUST026"/>
    <x v="8"/>
    <s v="P006"/>
    <s v="Office Chair"/>
    <x v="2"/>
    <n v="3"/>
    <n v="199.99"/>
    <s v="Cash"/>
    <x v="2"/>
    <s v="Premium"/>
    <d v="2023-11-24T00:00:00"/>
    <n v="599.97"/>
    <x v="0"/>
    <m/>
    <m/>
    <n v="67"/>
  </r>
  <r>
    <s v="TRX0162"/>
    <d v="2024-07-23T00:00:00"/>
    <s v="CUST040"/>
    <x v="30"/>
    <s v="P001"/>
    <s v="Laptop"/>
    <x v="0"/>
    <n v="1"/>
    <n v="899.99"/>
    <s v="Cash"/>
    <x v="0"/>
    <s v="Standard"/>
    <d v="2023-09-10T00:00:00"/>
    <n v="899.99"/>
    <x v="0"/>
    <m/>
    <m/>
    <n v="98"/>
  </r>
  <r>
    <s v="TRX0244"/>
    <d v="2024-07-24T00:00:00"/>
    <s v="CUST013"/>
    <x v="1"/>
    <s v="P001"/>
    <s v="Laptop"/>
    <x v="0"/>
    <n v="5"/>
    <n v="899.99"/>
    <s v="Debit Card"/>
    <x v="1"/>
    <s v="Standard"/>
    <d v="2022-12-04T00:00:00"/>
    <n v="4499.95"/>
    <x v="0"/>
    <m/>
    <m/>
    <n v="86"/>
  </r>
  <r>
    <s v="TRX0006"/>
    <d v="2024-07-25T00:00:00"/>
    <s v="CUST007"/>
    <x v="35"/>
    <s v="P005"/>
    <s v="Blender"/>
    <x v="1"/>
    <n v="2"/>
    <n v="59.99"/>
    <s v="Cash"/>
    <x v="2"/>
    <s v="Standard"/>
    <d v="2023-08-14T00:00:00"/>
    <n v="119.98"/>
    <x v="0"/>
    <m/>
    <m/>
    <n v="86"/>
  </r>
  <r>
    <s v="TRX0215"/>
    <d v="2024-07-25T00:00:00"/>
    <s v="CUST047"/>
    <x v="38"/>
    <s v="P009"/>
    <s v="Monitor"/>
    <x v="0"/>
    <n v="4"/>
    <n v="249.99"/>
    <s v="Debit Card"/>
    <x v="0"/>
    <s v="Standard"/>
    <d v="2023-07-20T00:00:00"/>
    <n v="999.96"/>
    <x v="0"/>
    <m/>
    <m/>
    <n v="67"/>
  </r>
  <r>
    <s v="TRX0080"/>
    <d v="2024-07-27T00:00:00"/>
    <s v="CUST018"/>
    <x v="17"/>
    <s v="P009"/>
    <s v="Monitor"/>
    <x v="0"/>
    <n v="2"/>
    <n v="249.99"/>
    <s v="Cash"/>
    <x v="2"/>
    <s v="Premium"/>
    <d v="2023-08-26T00:00:00"/>
    <n v="499.98"/>
    <x v="0"/>
    <m/>
    <m/>
    <n v="99"/>
  </r>
  <r>
    <s v="TRX0228"/>
    <d v="2024-07-27T00:00:00"/>
    <s v="CUST019"/>
    <x v="29"/>
    <s v="P007"/>
    <s v="Desk"/>
    <x v="2"/>
    <n v="1"/>
    <n v="299.99"/>
    <s v="Cash"/>
    <x v="1"/>
    <s v="Basic"/>
    <d v="2023-02-25T00:00:00"/>
    <n v="299.99"/>
    <x v="0"/>
    <m/>
    <m/>
    <n v="67"/>
  </r>
  <r>
    <s v="TRX0157"/>
    <d v="2024-07-28T00:00:00"/>
    <s v="CUST025"/>
    <x v="14"/>
    <s v="P010"/>
    <s v="Keyboard"/>
    <x v="0"/>
    <n v="2"/>
    <n v="89.99"/>
    <s v="PayPal"/>
    <x v="1"/>
    <s v="Basic"/>
    <d v="2023-02-19T00:00:00"/>
    <n v="179.98"/>
    <x v="0"/>
    <m/>
    <m/>
    <n v="84"/>
  </r>
  <r>
    <s v="TRX0002"/>
    <d v="2024-07-28T00:00:00"/>
    <s v="CUST019"/>
    <x v="29"/>
    <s v="P007"/>
    <s v="Desk"/>
    <x v="2"/>
    <n v="3"/>
    <n v="299.99"/>
    <s v="Cash"/>
    <x v="0"/>
    <s v="Basic"/>
    <d v="2022-06-20T00:00:00"/>
    <n v="899.97"/>
    <x v="0"/>
    <m/>
    <m/>
    <n v="67"/>
  </r>
  <r>
    <s v="TRX0217"/>
    <d v="2024-07-30T00:00:00"/>
    <s v="CUST025"/>
    <x v="14"/>
    <s v="P002"/>
    <s v="Smartphone"/>
    <x v="0"/>
    <n v="2"/>
    <n v="699.99"/>
    <s v="Credit Card"/>
    <x v="2"/>
    <s v="Premium"/>
    <d v="2023-03-14T00:00:00"/>
    <n v="1399.98"/>
    <x v="0"/>
    <m/>
    <m/>
    <n v="108"/>
  </r>
  <r>
    <s v="TRX0249"/>
    <d v="2024-07-31T00:00:00"/>
    <s v="CUST030"/>
    <x v="22"/>
    <s v="P001"/>
    <s v="Laptop"/>
    <x v="0"/>
    <n v="4"/>
    <n v="899.99"/>
    <s v="Debit Card"/>
    <x v="1"/>
    <s v="Standard"/>
    <d v="2021-11-23T00:00:00"/>
    <n v="3599.96"/>
    <x v="0"/>
    <m/>
    <m/>
    <n v="108"/>
  </r>
  <r>
    <s v="TRX0065"/>
    <d v="2024-08-05T00:00:00"/>
    <s v="CUST016"/>
    <x v="39"/>
    <s v="P008"/>
    <s v="Bookshelf"/>
    <x v="2"/>
    <n v="2"/>
    <n v="149.99"/>
    <s v="Credit Card"/>
    <x v="3"/>
    <s v="Basic"/>
    <d v="2021-12-12T00:00:00"/>
    <n v="299.98"/>
    <x v="0"/>
    <m/>
    <m/>
    <n v="99"/>
  </r>
  <r>
    <s v="TRX0176"/>
    <d v="2024-08-06T00:00:00"/>
    <s v="CUST044"/>
    <x v="19"/>
    <s v="P008"/>
    <s v="Bookshelf"/>
    <x v="2"/>
    <n v="2"/>
    <n v="149.99"/>
    <s v="Debit Card"/>
    <x v="4"/>
    <s v="Standard"/>
    <d v="2022-04-16T00:00:00"/>
    <n v="299.98"/>
    <x v="0"/>
    <m/>
    <m/>
    <n v="67"/>
  </r>
  <r>
    <s v="TRX0101"/>
    <d v="2024-08-09T00:00:00"/>
    <s v="CUST010"/>
    <x v="15"/>
    <s v="P010"/>
    <s v="Keyboard"/>
    <x v="0"/>
    <n v="1"/>
    <n v="89.99"/>
    <s v="Credit Card"/>
    <x v="2"/>
    <s v="Standard"/>
    <d v="2024-04-11T00:00:00"/>
    <n v="89.99"/>
    <x v="0"/>
    <m/>
    <m/>
    <n v="48"/>
  </r>
  <r>
    <s v="TRX0205"/>
    <d v="2024-08-11T00:00:00"/>
    <s v="CUST025"/>
    <x v="14"/>
    <s v="P007"/>
    <s v="Desk"/>
    <x v="2"/>
    <n v="5"/>
    <n v="299.99"/>
    <s v="Credit Card"/>
    <x v="2"/>
    <s v="Basic"/>
    <d v="2023-02-08T00:00:00"/>
    <n v="1499.95"/>
    <x v="0"/>
    <m/>
    <m/>
    <n v="86"/>
  </r>
  <r>
    <s v="TRX0020"/>
    <d v="2024-08-13T00:00:00"/>
    <s v="CUST007"/>
    <x v="35"/>
    <s v="P003"/>
    <s v="Headphones"/>
    <x v="0"/>
    <n v="4"/>
    <n v="149.99"/>
    <s v="Debit Card"/>
    <x v="1"/>
    <s v="Premium"/>
    <d v="2022-09-16T00:00:00"/>
    <n v="599.96"/>
    <x v="0"/>
    <m/>
    <m/>
    <n v="86"/>
  </r>
  <r>
    <s v="TRX0075"/>
    <d v="2024-08-13T00:00:00"/>
    <s v="CUST020"/>
    <x v="36"/>
    <s v="P009"/>
    <s v="Monitor"/>
    <x v="0"/>
    <n v="5"/>
    <n v="249.99"/>
    <s v="PayPal"/>
    <x v="4"/>
    <s v="Premium"/>
    <d v="2022-08-09T00:00:00"/>
    <n v="1249.95"/>
    <x v="0"/>
    <m/>
    <m/>
    <n v="43"/>
  </r>
  <r>
    <s v="TRX0098"/>
    <d v="2024-08-13T00:00:00"/>
    <s v="CUST026"/>
    <x v="8"/>
    <s v="P009"/>
    <s v="Monitor"/>
    <x v="0"/>
    <n v="3"/>
    <n v="249.99"/>
    <s v="PayPal"/>
    <x v="2"/>
    <s v="Premium"/>
    <d v="2021-09-26T00:00:00"/>
    <n v="749.97"/>
    <x v="0"/>
    <m/>
    <m/>
    <n v="43"/>
  </r>
  <r>
    <s v="TRX0247"/>
    <d v="2024-08-13T00:00:00"/>
    <s v="CUST046"/>
    <x v="3"/>
    <s v="P006"/>
    <s v="Office Chair"/>
    <x v="2"/>
    <n v="4"/>
    <n v="199.99"/>
    <s v="Cash"/>
    <x v="2"/>
    <s v="Standard"/>
    <d v="2021-09-19T00:00:00"/>
    <n v="799.96"/>
    <x v="0"/>
    <m/>
    <m/>
    <n v="99"/>
  </r>
  <r>
    <s v="TRX0027"/>
    <d v="2024-08-15T00:00:00"/>
    <s v="CUST028"/>
    <x v="32"/>
    <s v="P006"/>
    <s v="Office Chair"/>
    <x v="2"/>
    <n v="5"/>
    <n v="199.99"/>
    <s v="Cash"/>
    <x v="2"/>
    <s v="Premium"/>
    <d v="2023-03-06T00:00:00"/>
    <n v="999.95"/>
    <x v="0"/>
    <m/>
    <m/>
    <n v="67"/>
  </r>
  <r>
    <s v="TRX0140"/>
    <d v="2024-08-18T00:00:00"/>
    <s v="CUST025"/>
    <x v="14"/>
    <s v="P010"/>
    <s v="Keyboard"/>
    <x v="0"/>
    <n v="2"/>
    <n v="89.99"/>
    <s v="Cash"/>
    <x v="4"/>
    <s v="Premium"/>
    <d v="2023-02-15T00:00:00"/>
    <n v="179.98"/>
    <x v="0"/>
    <m/>
    <m/>
    <n v="48"/>
  </r>
  <r>
    <s v="TRX0132"/>
    <d v="2024-08-19T00:00:00"/>
    <s v="CUST047"/>
    <x v="38"/>
    <s v="P001"/>
    <s v="Laptop"/>
    <x v="0"/>
    <n v="5"/>
    <n v="899.99"/>
    <s v="Debit Card"/>
    <x v="4"/>
    <s v="Basic"/>
    <d v="2021-11-26T00:00:00"/>
    <n v="4499.95"/>
    <x v="0"/>
    <m/>
    <m/>
    <n v="108"/>
  </r>
  <r>
    <s v="TRX0031"/>
    <d v="2024-08-19T00:00:00"/>
    <s v="CUST036"/>
    <x v="20"/>
    <s v="P003"/>
    <s v="Headphones"/>
    <x v="0"/>
    <n v="3"/>
    <n v="149.99"/>
    <s v="PayPal"/>
    <x v="4"/>
    <s v="Basic"/>
    <d v="2022-01-13T00:00:00"/>
    <n v="449.97"/>
    <x v="0"/>
    <m/>
    <m/>
    <n v="50"/>
  </r>
  <r>
    <s v="TRX0236"/>
    <d v="2024-08-22T00:00:00"/>
    <s v="CUST044"/>
    <x v="19"/>
    <s v="P008"/>
    <s v="Bookshelf"/>
    <x v="2"/>
    <n v="5"/>
    <n v="149.99"/>
    <s v="Credit Card"/>
    <x v="0"/>
    <s v="Basic"/>
    <d v="2024-01-19T00:00:00"/>
    <n v="749.95"/>
    <x v="0"/>
    <m/>
    <m/>
    <n v="86"/>
  </r>
  <r>
    <s v="TRX0001"/>
    <d v="2024-08-24T00:00:00"/>
    <s v="CUST039"/>
    <x v="40"/>
    <s v="P004"/>
    <s v="Coffee Maker"/>
    <x v="1"/>
    <n v="3"/>
    <n v="79.989999999999995"/>
    <s v="Cash"/>
    <x v="0"/>
    <s v="Premium"/>
    <d v="2022-08-06T00:00:00"/>
    <n v="239.97"/>
    <x v="0"/>
    <m/>
    <m/>
    <n v="84"/>
  </r>
  <r>
    <s v="TRX0037"/>
    <d v="2024-08-24T00:00:00"/>
    <s v="CUST035"/>
    <x v="28"/>
    <s v="P009"/>
    <s v="Monitor"/>
    <x v="0"/>
    <n v="2"/>
    <n v="249.99"/>
    <s v="Cash"/>
    <x v="1"/>
    <s v="Standard"/>
    <d v="2022-01-11T00:00:00"/>
    <n v="499.98"/>
    <x v="0"/>
    <m/>
    <m/>
    <n v="48"/>
  </r>
  <r>
    <s v="TRX0058"/>
    <d v="2024-08-28T00:00:00"/>
    <s v="CUST047"/>
    <x v="38"/>
    <s v="P002"/>
    <s v="Smartphone"/>
    <x v="0"/>
    <n v="1"/>
    <n v="699.99"/>
    <s v="Cash"/>
    <x v="0"/>
    <s v="Premium"/>
    <d v="2021-10-28T00:00:00"/>
    <n v="699.99"/>
    <x v="0"/>
    <m/>
    <m/>
    <n v="84"/>
  </r>
  <r>
    <s v="TRX0170"/>
    <d v="2024-08-28T00:00:00"/>
    <s v="CUST034"/>
    <x v="41"/>
    <s v="P003"/>
    <s v="Headphones"/>
    <x v="0"/>
    <n v="3"/>
    <n v="149.99"/>
    <s v="Cash"/>
    <x v="3"/>
    <s v="Premium"/>
    <d v="2023-10-13T00:00:00"/>
    <n v="449.97"/>
    <x v="0"/>
    <m/>
    <m/>
    <n v="86"/>
  </r>
  <r>
    <s v="TRX0248"/>
    <d v="2024-08-30T00:00:00"/>
    <s v="CUST032"/>
    <x v="42"/>
    <s v="P002"/>
    <s v="Smartphone"/>
    <x v="0"/>
    <n v="2"/>
    <n v="699.99"/>
    <s v="Credit Card"/>
    <x v="2"/>
    <s v="Premium"/>
    <d v="2021-08-13T00:00:00"/>
    <n v="1399.98"/>
    <x v="0"/>
    <m/>
    <m/>
    <n v="86"/>
  </r>
  <r>
    <s v="TRX0099"/>
    <d v="2024-09-02T00:00:00"/>
    <s v="CUST034"/>
    <x v="41"/>
    <s v="P009"/>
    <s v="Monitor"/>
    <x v="0"/>
    <n v="1"/>
    <n v="249.99"/>
    <s v="Credit Card"/>
    <x v="3"/>
    <s v="Premium"/>
    <d v="2022-05-04T00:00:00"/>
    <n v="249.99"/>
    <x v="0"/>
    <m/>
    <m/>
    <n v="84"/>
  </r>
  <r>
    <s v="TRX0074"/>
    <d v="2024-09-02T00:00:00"/>
    <s v="CUST023"/>
    <x v="0"/>
    <s v="P009"/>
    <s v="Monitor"/>
    <x v="0"/>
    <n v="1"/>
    <n v="249.99"/>
    <s v="Debit Card"/>
    <x v="2"/>
    <s v="Premium"/>
    <d v="2024-02-10T00:00:00"/>
    <n v="249.99"/>
    <x v="0"/>
    <m/>
    <m/>
    <n v="98"/>
  </r>
  <r>
    <s v="TRX0225"/>
    <d v="2024-09-03T00:00:00"/>
    <s v="CUST039"/>
    <x v="40"/>
    <s v="P002"/>
    <s v="Smartphone"/>
    <x v="0"/>
    <n v="2"/>
    <n v="699.99"/>
    <s v="Debit Card"/>
    <x v="0"/>
    <s v="Premium"/>
    <d v="2022-11-05T00:00:00"/>
    <n v="1399.98"/>
    <x v="0"/>
    <m/>
    <m/>
    <n v="98"/>
  </r>
  <r>
    <s v="TRX0100"/>
    <d v="2024-09-06T00:00:00"/>
    <s v="CUST031"/>
    <x v="26"/>
    <s v="P005"/>
    <s v="Blender"/>
    <x v="1"/>
    <n v="3"/>
    <n v="59.99"/>
    <s v="Credit Card"/>
    <x v="0"/>
    <s v="Premium"/>
    <d v="2022-06-05T00:00:00"/>
    <n v="179.97"/>
    <x v="0"/>
    <m/>
    <m/>
    <n v="50"/>
  </r>
  <r>
    <s v="TRX0142"/>
    <d v="2024-09-09T00:00:00"/>
    <s v="CUST002"/>
    <x v="25"/>
    <s v="P005"/>
    <s v="Blender"/>
    <x v="1"/>
    <n v="3"/>
    <n v="59.99"/>
    <s v="PayPal"/>
    <x v="4"/>
    <s v="Standard"/>
    <d v="2022-07-06T00:00:00"/>
    <n v="179.97"/>
    <x v="0"/>
    <m/>
    <m/>
    <n v="50"/>
  </r>
  <r>
    <s v="TRX0112"/>
    <d v="2024-09-09T00:00:00"/>
    <s v="CUST008"/>
    <x v="27"/>
    <s v="P004"/>
    <s v="Coffee Maker"/>
    <x v="1"/>
    <n v="4"/>
    <n v="79.989999999999995"/>
    <s v="Cash"/>
    <x v="2"/>
    <s v="Basic"/>
    <d v="2021-11-30T00:00:00"/>
    <n v="319.95999999999998"/>
    <x v="0"/>
    <m/>
    <m/>
    <n v="67"/>
  </r>
  <r>
    <s v="TRX0161"/>
    <d v="2024-09-10T00:00:00"/>
    <s v="CUST017"/>
    <x v="6"/>
    <s v="P004"/>
    <s v="Coffee Maker"/>
    <x v="1"/>
    <n v="1"/>
    <n v="79.989999999999995"/>
    <s v="Cash"/>
    <x v="3"/>
    <s v="Basic"/>
    <d v="2022-05-12T00:00:00"/>
    <n v="79.989999999999995"/>
    <x v="0"/>
    <m/>
    <m/>
    <n v="99"/>
  </r>
  <r>
    <s v="TRX0108"/>
    <d v="2024-09-12T00:00:00"/>
    <s v="CUST024"/>
    <x v="5"/>
    <s v="P007"/>
    <s v="Desk"/>
    <x v="2"/>
    <n v="3"/>
    <n v="299.99"/>
    <s v="Credit Card"/>
    <x v="0"/>
    <s v="Premium"/>
    <d v="2021-10-25T00:00:00"/>
    <n v="899.97"/>
    <x v="0"/>
    <m/>
    <m/>
    <n v="48"/>
  </r>
  <r>
    <s v="TRX0211"/>
    <d v="2024-09-13T00:00:00"/>
    <s v="CUST046"/>
    <x v="3"/>
    <s v="P010"/>
    <s v="Keyboard"/>
    <x v="0"/>
    <n v="2"/>
    <n v="89.99"/>
    <s v="Credit Card"/>
    <x v="1"/>
    <s v="Premium"/>
    <d v="2022-03-21T00:00:00"/>
    <n v="179.98"/>
    <x v="0"/>
    <m/>
    <m/>
    <n v="86"/>
  </r>
  <r>
    <s v="TRX0005"/>
    <d v="2024-09-15T00:00:00"/>
    <s v="CUST042"/>
    <x v="43"/>
    <s v="P003"/>
    <s v="Headphones"/>
    <x v="0"/>
    <n v="4"/>
    <n v="149.99"/>
    <s v="Cash"/>
    <x v="2"/>
    <s v="Basic"/>
    <d v="2022-12-14T00:00:00"/>
    <n v="599.96"/>
    <x v="0"/>
    <m/>
    <m/>
    <n v="43"/>
  </r>
  <r>
    <s v="TRX0195"/>
    <d v="2024-09-16T00:00:00"/>
    <s v="CUST026"/>
    <x v="8"/>
    <s v="P009"/>
    <s v="Monitor"/>
    <x v="0"/>
    <n v="2"/>
    <n v="249.99"/>
    <s v="PayPal"/>
    <x v="1"/>
    <s v="Basic"/>
    <d v="2023-03-08T00:00:00"/>
    <n v="499.98"/>
    <x v="0"/>
    <m/>
    <m/>
    <n v="99"/>
  </r>
  <r>
    <s v="TRX0054"/>
    <d v="2024-09-16T00:00:00"/>
    <s v="CUST004"/>
    <x v="31"/>
    <s v="P006"/>
    <s v="Office Chair"/>
    <x v="2"/>
    <n v="4"/>
    <n v="199.99"/>
    <s v="Debit Card"/>
    <x v="4"/>
    <s v="Basic"/>
    <d v="2021-09-19T00:00:00"/>
    <n v="799.96"/>
    <x v="0"/>
    <m/>
    <m/>
    <n v="48"/>
  </r>
  <r>
    <s v="TRX0077"/>
    <d v="2024-09-19T00:00:00"/>
    <s v="CUST019"/>
    <x v="29"/>
    <s v="P010"/>
    <s v="Keyboard"/>
    <x v="0"/>
    <n v="5"/>
    <n v="89.99"/>
    <s v="Credit Card"/>
    <x v="4"/>
    <s v="Premium"/>
    <d v="2021-09-07T00:00:00"/>
    <n v="449.95"/>
    <x v="0"/>
    <m/>
    <m/>
    <n v="84"/>
  </r>
  <r>
    <s v="TRX0111"/>
    <d v="2024-09-19T00:00:00"/>
    <s v="CUST011"/>
    <x v="44"/>
    <s v="P003"/>
    <s v="Headphones"/>
    <x v="0"/>
    <n v="1"/>
    <n v="149.99"/>
    <s v="PayPal"/>
    <x v="4"/>
    <s v="Standard"/>
    <d v="2021-10-13T00:00:00"/>
    <n v="149.99"/>
    <x v="0"/>
    <m/>
    <m/>
    <n v="67"/>
  </r>
  <r>
    <s v="TRX0123"/>
    <d v="2024-09-19T00:00:00"/>
    <s v="CUST041"/>
    <x v="10"/>
    <s v="P002"/>
    <s v="Smartphone"/>
    <x v="0"/>
    <n v="4"/>
    <n v="699.99"/>
    <s v="PayPal"/>
    <x v="1"/>
    <s v="Basic"/>
    <d v="2022-02-26T00:00:00"/>
    <n v="2799.96"/>
    <x v="0"/>
    <m/>
    <m/>
    <n v="108"/>
  </r>
  <r>
    <s v="TRX0177"/>
    <d v="2024-09-24T00:00:00"/>
    <s v="CUST032"/>
    <x v="42"/>
    <s v="P001"/>
    <s v="Laptop"/>
    <x v="0"/>
    <n v="3"/>
    <n v="899.99"/>
    <s v="Credit Card"/>
    <x v="2"/>
    <s v="Standard"/>
    <d v="2023-08-19T00:00:00"/>
    <n v="2699.97"/>
    <x v="0"/>
    <m/>
    <m/>
    <n v="67"/>
  </r>
  <r>
    <s v="TRX0119"/>
    <d v="2024-09-25T00:00:00"/>
    <s v="CUST014"/>
    <x v="21"/>
    <s v="P008"/>
    <s v="Bookshelf"/>
    <x v="2"/>
    <n v="3"/>
    <n v="149.99"/>
    <s v="PayPal"/>
    <x v="4"/>
    <s v="Basic"/>
    <d v="2022-11-21T00:00:00"/>
    <n v="449.97"/>
    <x v="0"/>
    <m/>
    <m/>
    <n v="43"/>
  </r>
  <r>
    <s v="TRX0181"/>
    <d v="2024-09-28T00:00:00"/>
    <s v="CUST012"/>
    <x v="18"/>
    <s v="P007"/>
    <s v="Desk"/>
    <x v="2"/>
    <n v="2"/>
    <n v="299.99"/>
    <s v="Debit Card"/>
    <x v="0"/>
    <s v="Basic"/>
    <d v="2022-01-08T00:00:00"/>
    <n v="599.98"/>
    <x v="0"/>
    <m/>
    <m/>
    <n v="67"/>
  </r>
  <r>
    <s v="TRX0129"/>
    <d v="2024-09-29T00:00:00"/>
    <s v="CUST015"/>
    <x v="45"/>
    <s v="P006"/>
    <s v="Office Chair"/>
    <x v="2"/>
    <n v="1"/>
    <n v="199.99"/>
    <s v="Debit Card"/>
    <x v="4"/>
    <s v="Standard"/>
    <d v="2023-01-27T00:00:00"/>
    <n v="199.99"/>
    <x v="0"/>
    <m/>
    <m/>
    <n v="98"/>
  </r>
  <r>
    <s v="TRX0174"/>
    <d v="2024-10-01T00:00:00"/>
    <s v="CUST003"/>
    <x v="4"/>
    <s v="P007"/>
    <s v="Desk"/>
    <x v="2"/>
    <n v="4"/>
    <n v="299.99"/>
    <s v="Cash"/>
    <x v="0"/>
    <s v="Premium"/>
    <d v="2021-09-21T00:00:00"/>
    <n v="1199.96"/>
    <x v="0"/>
    <m/>
    <m/>
    <n v="48"/>
  </r>
  <r>
    <s v="TRX0146"/>
    <d v="2024-10-07T00:00:00"/>
    <s v="CUST010"/>
    <x v="15"/>
    <s v="P005"/>
    <s v="Blender"/>
    <x v="1"/>
    <n v="2"/>
    <n v="59.99"/>
    <s v="Credit Card"/>
    <x v="0"/>
    <s v="Basic"/>
    <d v="2022-01-18T00:00:00"/>
    <n v="119.98"/>
    <x v="0"/>
    <m/>
    <m/>
    <n v="84"/>
  </r>
  <r>
    <s v="TRX0203"/>
    <d v="2024-10-07T00:00:00"/>
    <s v="CUST032"/>
    <x v="42"/>
    <s v="P003"/>
    <s v="Headphones"/>
    <x v="0"/>
    <n v="4"/>
    <n v="149.99"/>
    <s v="Credit Card"/>
    <x v="2"/>
    <s v="Premium"/>
    <d v="2023-05-30T00:00:00"/>
    <n v="599.96"/>
    <x v="0"/>
    <m/>
    <m/>
    <n v="108"/>
  </r>
  <r>
    <s v="TRX0055"/>
    <d v="2024-10-08T00:00:00"/>
    <s v="CUST016"/>
    <x v="39"/>
    <s v="P002"/>
    <s v="Smartphone"/>
    <x v="0"/>
    <n v="2"/>
    <n v="699.99"/>
    <s v="Debit Card"/>
    <x v="4"/>
    <s v="Premium"/>
    <d v="2023-12-14T00:00:00"/>
    <n v="1399.98"/>
    <x v="0"/>
    <m/>
    <m/>
    <n v="67"/>
  </r>
  <r>
    <s v="TRX0218"/>
    <d v="2024-10-08T00:00:00"/>
    <s v="CUST034"/>
    <x v="41"/>
    <s v="P008"/>
    <s v="Bookshelf"/>
    <x v="2"/>
    <n v="3"/>
    <n v="149.99"/>
    <s v="Credit Card"/>
    <x v="1"/>
    <s v="Standard"/>
    <d v="2023-01-14T00:00:00"/>
    <n v="449.97"/>
    <x v="0"/>
    <m/>
    <m/>
    <n v="67"/>
  </r>
  <r>
    <s v="TRX0085"/>
    <d v="2024-10-11T00:00:00"/>
    <s v="CUST019"/>
    <x v="29"/>
    <s v="P007"/>
    <s v="Desk"/>
    <x v="2"/>
    <n v="3"/>
    <n v="299.99"/>
    <s v="Credit Card"/>
    <x v="0"/>
    <s v="Standard"/>
    <d v="2023-09-05T00:00:00"/>
    <n v="899.97"/>
    <x v="0"/>
    <m/>
    <m/>
    <n v="84"/>
  </r>
  <r>
    <s v="TRX0158"/>
    <d v="2024-10-14T00:00:00"/>
    <s v="CUST027"/>
    <x v="13"/>
    <s v="P001"/>
    <s v="Laptop"/>
    <x v="0"/>
    <n v="3"/>
    <n v="899.99"/>
    <s v="PayPal"/>
    <x v="3"/>
    <s v="Basic"/>
    <d v="2023-10-16T00:00:00"/>
    <n v="2699.97"/>
    <x v="0"/>
    <m/>
    <m/>
    <n v="84"/>
  </r>
  <r>
    <s v="TRX0173"/>
    <d v="2024-10-16T00:00:00"/>
    <s v="CUST018"/>
    <x v="17"/>
    <s v="P002"/>
    <s v="Smartphone"/>
    <x v="0"/>
    <n v="5"/>
    <n v="699.99"/>
    <s v="Cash"/>
    <x v="4"/>
    <s v="Standard"/>
    <d v="2023-03-23T00:00:00"/>
    <n v="3499.95"/>
    <x v="0"/>
    <m/>
    <m/>
    <n v="67"/>
  </r>
  <r>
    <s v="TRX0034"/>
    <d v="2024-10-16T00:00:00"/>
    <s v="CUST049"/>
    <x v="34"/>
    <s v="P002"/>
    <s v="Smartphone"/>
    <x v="0"/>
    <n v="4"/>
    <n v="699.99"/>
    <s v="Credit Card"/>
    <x v="0"/>
    <s v="Basic"/>
    <d v="2024-04-03T00:00:00"/>
    <n v="2799.96"/>
    <x v="0"/>
    <m/>
    <m/>
    <n v="48"/>
  </r>
  <r>
    <s v="TRX0189"/>
    <d v="2024-10-16T00:00:00"/>
    <s v="CUST040"/>
    <x v="30"/>
    <s v="P001"/>
    <s v="Laptop"/>
    <x v="0"/>
    <n v="1"/>
    <n v="899.99"/>
    <s v="Credit Card"/>
    <x v="4"/>
    <s v="Standard"/>
    <d v="2024-03-18T00:00:00"/>
    <n v="899.99"/>
    <x v="0"/>
    <m/>
    <m/>
    <n v="99"/>
  </r>
  <r>
    <s v="TRX0190"/>
    <d v="2024-10-18T00:00:00"/>
    <s v="CUST039"/>
    <x v="40"/>
    <s v="P003"/>
    <s v="Headphones"/>
    <x v="0"/>
    <n v="2"/>
    <n v="149.99"/>
    <s v="Credit Card"/>
    <x v="3"/>
    <s v="Basic"/>
    <d v="2022-12-21T00:00:00"/>
    <n v="299.98"/>
    <x v="0"/>
    <m/>
    <m/>
    <n v="48"/>
  </r>
  <r>
    <s v="TRX0079"/>
    <d v="2024-10-21T00:00:00"/>
    <s v="CUST039"/>
    <x v="40"/>
    <s v="P010"/>
    <s v="Keyboard"/>
    <x v="0"/>
    <n v="3"/>
    <n v="89.99"/>
    <s v="PayPal"/>
    <x v="0"/>
    <s v="Basic"/>
    <d v="2021-12-21T00:00:00"/>
    <n v="269.97000000000003"/>
    <x v="0"/>
    <m/>
    <m/>
    <n v="84"/>
  </r>
  <r>
    <s v="TRX0095"/>
    <d v="2024-10-23T00:00:00"/>
    <s v="CUST046"/>
    <x v="3"/>
    <s v="P003"/>
    <s v="Headphones"/>
    <x v="0"/>
    <n v="2"/>
    <n v="149.99"/>
    <s v="PayPal"/>
    <x v="0"/>
    <s v="Basic"/>
    <d v="2021-10-04T00:00:00"/>
    <n v="299.98"/>
    <x v="0"/>
    <m/>
    <m/>
    <n v="84"/>
  </r>
  <r>
    <s v="TRX0009"/>
    <d v="2024-10-23T00:00:00"/>
    <s v="CUST004"/>
    <x v="31"/>
    <s v="P002"/>
    <s v="Smartphone"/>
    <x v="0"/>
    <n v="2"/>
    <n v="699.99"/>
    <s v="Cash"/>
    <x v="0"/>
    <s v="Basic"/>
    <d v="2023-03-07T00:00:00"/>
    <n v="1399.98"/>
    <x v="0"/>
    <m/>
    <m/>
    <n v="99"/>
  </r>
  <r>
    <s v="TRX0167"/>
    <d v="2024-10-24T00:00:00"/>
    <s v="CUST028"/>
    <x v="32"/>
    <s v="P002"/>
    <s v="Smartphone"/>
    <x v="0"/>
    <n v="5"/>
    <n v="699.99"/>
    <s v="Cash"/>
    <x v="2"/>
    <s v="Premium"/>
    <d v="2022-03-15T00:00:00"/>
    <n v="3499.95"/>
    <x v="0"/>
    <m/>
    <m/>
    <n v="86"/>
  </r>
  <r>
    <s v="TRX0153"/>
    <d v="2024-10-27T00:00:00"/>
    <s v="CUST049"/>
    <x v="34"/>
    <s v="P010"/>
    <s v="Keyboard"/>
    <x v="0"/>
    <n v="3"/>
    <n v="89.99"/>
    <s v="Credit Card"/>
    <x v="2"/>
    <s v="Standard"/>
    <d v="2022-02-23T00:00:00"/>
    <n v="269.97000000000003"/>
    <x v="0"/>
    <m/>
    <m/>
    <n v="67"/>
  </r>
  <r>
    <s v="TRX0057"/>
    <d v="2024-11-01T00:00:00"/>
    <s v="CUST023"/>
    <x v="0"/>
    <s v="P009"/>
    <s v="Monitor"/>
    <x v="0"/>
    <n v="5"/>
    <n v="249.99"/>
    <s v="Credit Card"/>
    <x v="1"/>
    <s v="Standard"/>
    <d v="2022-11-16T00:00:00"/>
    <n v="1249.95"/>
    <x v="0"/>
    <m/>
    <m/>
    <n v="99"/>
  </r>
  <r>
    <s v="TRX0017"/>
    <d v="2024-11-04T00:00:00"/>
    <s v="CUST026"/>
    <x v="8"/>
    <s v="P007"/>
    <s v="Desk"/>
    <x v="2"/>
    <n v="3"/>
    <n v="299.99"/>
    <s v="Credit Card"/>
    <x v="1"/>
    <s v="Standard"/>
    <d v="2021-11-02T00:00:00"/>
    <n v="899.97"/>
    <x v="0"/>
    <m/>
    <m/>
    <n v="108"/>
  </r>
  <r>
    <s v="TRX0060"/>
    <d v="2024-11-07T00:00:00"/>
    <s v="CUST012"/>
    <x v="18"/>
    <s v="P010"/>
    <s v="Keyboard"/>
    <x v="0"/>
    <n v="3"/>
    <n v="89.99"/>
    <s v="Credit Card"/>
    <x v="2"/>
    <s v="Premium"/>
    <d v="2021-08-12T00:00:00"/>
    <n v="269.97000000000003"/>
    <x v="0"/>
    <m/>
    <m/>
    <n v="86"/>
  </r>
  <r>
    <s v="TRX0109"/>
    <d v="2024-11-08T00:00:00"/>
    <s v="CUST010"/>
    <x v="15"/>
    <s v="P008"/>
    <s v="Bookshelf"/>
    <x v="2"/>
    <n v="2"/>
    <n v="149.99"/>
    <s v="Credit Card"/>
    <x v="3"/>
    <s v="Premium"/>
    <d v="2022-10-14T00:00:00"/>
    <n v="299.98"/>
    <x v="0"/>
    <m/>
    <m/>
    <n v="48"/>
  </r>
  <r>
    <s v="TRX0090"/>
    <d v="2024-11-09T00:00:00"/>
    <s v="CUST020"/>
    <x v="36"/>
    <s v="P009"/>
    <s v="Monitor"/>
    <x v="0"/>
    <n v="1"/>
    <n v="249.99"/>
    <s v="Credit Card"/>
    <x v="2"/>
    <s v="Premium"/>
    <d v="2022-09-24T00:00:00"/>
    <n v="249.99"/>
    <x v="0"/>
    <m/>
    <m/>
    <n v="98"/>
  </r>
  <r>
    <s v="TRX0035"/>
    <d v="2024-11-11T00:00:00"/>
    <s v="CUST041"/>
    <x v="10"/>
    <s v="P003"/>
    <s v="Headphones"/>
    <x v="0"/>
    <n v="3"/>
    <n v="149.99"/>
    <s v="Cash"/>
    <x v="2"/>
    <s v="Basic"/>
    <d v="2022-07-27T00:00:00"/>
    <n v="449.97"/>
    <x v="0"/>
    <m/>
    <m/>
    <n v="86"/>
  </r>
  <r>
    <s v="TRX0172"/>
    <d v="2024-11-11T00:00:00"/>
    <s v="CUST023"/>
    <x v="0"/>
    <s v="P005"/>
    <s v="Blender"/>
    <x v="1"/>
    <n v="5"/>
    <n v="59.99"/>
    <s v="PayPal"/>
    <x v="3"/>
    <s v="Premium"/>
    <d v="2022-05-13T00:00:00"/>
    <n v="299.95"/>
    <x v="0"/>
    <m/>
    <m/>
    <n v="108"/>
  </r>
  <r>
    <s v="TRX0076"/>
    <d v="2024-11-11T00:00:00"/>
    <s v="CUST012"/>
    <x v="18"/>
    <s v="P009"/>
    <s v="Monitor"/>
    <x v="0"/>
    <n v="4"/>
    <n v="249.99"/>
    <s v="Credit Card"/>
    <x v="3"/>
    <s v="Standard"/>
    <d v="2022-04-08T00:00:00"/>
    <n v="999.96"/>
    <x v="0"/>
    <m/>
    <m/>
    <n v="98"/>
  </r>
  <r>
    <s v="TRX0210"/>
    <d v="2024-11-12T00:00:00"/>
    <s v="CUST004"/>
    <x v="31"/>
    <s v="P008"/>
    <s v="Bookshelf"/>
    <x v="2"/>
    <n v="5"/>
    <n v="149.99"/>
    <s v="PayPal"/>
    <x v="0"/>
    <s v="Basic"/>
    <d v="2022-12-06T00:00:00"/>
    <n v="749.95"/>
    <x v="0"/>
    <m/>
    <m/>
    <n v="108"/>
  </r>
  <r>
    <s v="TRX0149"/>
    <d v="2024-11-12T00:00:00"/>
    <s v="CUST027"/>
    <x v="13"/>
    <s v="P005"/>
    <s v="Blender"/>
    <x v="1"/>
    <n v="3"/>
    <n v="59.99"/>
    <s v="Debit Card"/>
    <x v="1"/>
    <s v="Standard"/>
    <d v="2023-11-30T00:00:00"/>
    <n v="179.97"/>
    <x v="0"/>
    <m/>
    <m/>
    <n v="84"/>
  </r>
  <r>
    <s v="TRX0073"/>
    <d v="2024-11-17T00:00:00"/>
    <s v="CUST032"/>
    <x v="42"/>
    <s v="P008"/>
    <s v="Bookshelf"/>
    <x v="2"/>
    <n v="5"/>
    <n v="149.99"/>
    <s v="Cash"/>
    <x v="2"/>
    <s v="Basic"/>
    <d v="2022-11-04T00:00:00"/>
    <n v="749.95"/>
    <x v="0"/>
    <m/>
    <m/>
    <n v="43"/>
  </r>
  <r>
    <s v="TRX0033"/>
    <d v="2024-11-17T00:00:00"/>
    <s v="CUST025"/>
    <x v="14"/>
    <s v="P002"/>
    <s v="Smartphone"/>
    <x v="0"/>
    <n v="2"/>
    <n v="699.99"/>
    <s v="PayPal"/>
    <x v="3"/>
    <s v="Standard"/>
    <d v="2022-07-28T00:00:00"/>
    <n v="1399.98"/>
    <x v="0"/>
    <m/>
    <m/>
    <n v="98"/>
  </r>
  <r>
    <s v="TRX0160"/>
    <d v="2024-11-21T00:00:00"/>
    <s v="CUST029"/>
    <x v="23"/>
    <s v="P006"/>
    <s v="Office Chair"/>
    <x v="2"/>
    <n v="4"/>
    <n v="199.99"/>
    <s v="Debit Card"/>
    <x v="0"/>
    <s v="Premium"/>
    <d v="2021-08-19T00:00:00"/>
    <n v="799.96"/>
    <x v="0"/>
    <m/>
    <m/>
    <n v="84"/>
  </r>
  <r>
    <s v="TRX0145"/>
    <d v="2024-11-23T00:00:00"/>
    <s v="CUST033"/>
    <x v="37"/>
    <s v="P005"/>
    <s v="Blender"/>
    <x v="1"/>
    <n v="1"/>
    <n v="59.99"/>
    <s v="Debit Card"/>
    <x v="3"/>
    <s v="Standard"/>
    <d v="2021-12-30T00:00:00"/>
    <n v="59.99"/>
    <x v="0"/>
    <m/>
    <m/>
    <n v="86"/>
  </r>
  <r>
    <s v="TRX0148"/>
    <d v="2024-11-23T00:00:00"/>
    <s v="CUST004"/>
    <x v="31"/>
    <s v="P002"/>
    <s v="Smartphone"/>
    <x v="0"/>
    <n v="3"/>
    <n v="699.99"/>
    <s v="PayPal"/>
    <x v="3"/>
    <s v="Standard"/>
    <d v="2022-01-22T00:00:00"/>
    <n v="2099.9699999999998"/>
    <x v="0"/>
    <m/>
    <m/>
    <n v="108"/>
  </r>
  <r>
    <s v="TRX0012"/>
    <d v="2024-11-26T00:00:00"/>
    <s v="CUST045"/>
    <x v="46"/>
    <s v="P009"/>
    <s v="Monitor"/>
    <x v="0"/>
    <n v="5"/>
    <n v="249.99"/>
    <s v="Credit Card"/>
    <x v="2"/>
    <s v="Basic"/>
    <d v="2022-11-08T00:00:00"/>
    <n v="1249.95"/>
    <x v="0"/>
    <m/>
    <m/>
    <n v="67"/>
  </r>
  <r>
    <s v="TRX0206"/>
    <d v="2024-11-27T00:00:00"/>
    <s v="CUST014"/>
    <x v="21"/>
    <s v="P008"/>
    <s v="Bookshelf"/>
    <x v="2"/>
    <n v="2"/>
    <n v="149.99"/>
    <s v="Cash"/>
    <x v="1"/>
    <s v="Standard"/>
    <d v="2023-06-24T00:00:00"/>
    <n v="299.98"/>
    <x v="0"/>
    <m/>
    <m/>
    <n v="86"/>
  </r>
  <r>
    <s v="TRX0045"/>
    <d v="2024-12-01T00:00:00"/>
    <s v="CUST021"/>
    <x v="2"/>
    <s v="P007"/>
    <s v="Desk"/>
    <x v="2"/>
    <n v="3"/>
    <n v="299.99"/>
    <s v="Cash"/>
    <x v="1"/>
    <s v="Premium"/>
    <d v="2022-04-08T00:00:00"/>
    <n v="899.97"/>
    <x v="0"/>
    <m/>
    <m/>
    <n v="48"/>
  </r>
  <r>
    <s v="TRX0094"/>
    <d v="2024-12-01T00:00:00"/>
    <s v="CUST017"/>
    <x v="6"/>
    <s v="P009"/>
    <s v="Monitor"/>
    <x v="0"/>
    <n v="5"/>
    <n v="249.99"/>
    <s v="Cash"/>
    <x v="0"/>
    <s v="Premium"/>
    <d v="2021-10-16T00:00:00"/>
    <n v="1249.95"/>
    <x v="0"/>
    <m/>
    <m/>
    <n v="84"/>
  </r>
  <r>
    <s v="TRX0133"/>
    <d v="2024-12-01T00:00:00"/>
    <s v="CUST013"/>
    <x v="1"/>
    <s v="P003"/>
    <s v="Headphones"/>
    <x v="0"/>
    <n v="2"/>
    <n v="149.99"/>
    <s v="Cash"/>
    <x v="1"/>
    <s v="Premium"/>
    <d v="2021-10-06T00:00:00"/>
    <n v="299.98"/>
    <x v="0"/>
    <m/>
    <m/>
    <n v="86"/>
  </r>
  <r>
    <s v="TRX0201"/>
    <d v="2024-12-01T00:00:00"/>
    <s v="CUST025"/>
    <x v="14"/>
    <s v="P002"/>
    <s v="Smartphone"/>
    <x v="0"/>
    <n v="5"/>
    <n v="699.99"/>
    <s v="Debit Card"/>
    <x v="3"/>
    <s v="Standard"/>
    <d v="2023-01-18T00:00:00"/>
    <n v="3499.95"/>
    <x v="0"/>
    <m/>
    <m/>
    <n v="84"/>
  </r>
  <r>
    <s v="TRX0137"/>
    <d v="2024-12-03T00:00:00"/>
    <s v="CUST011"/>
    <x v="44"/>
    <s v="P009"/>
    <s v="Monitor"/>
    <x v="0"/>
    <n v="4"/>
    <n v="249.99"/>
    <s v="PayPal"/>
    <x v="4"/>
    <s v="Premium"/>
    <d v="2023-06-21T00:00:00"/>
    <n v="999.96"/>
    <x v="0"/>
    <m/>
    <m/>
    <n v="86"/>
  </r>
  <r>
    <s v="TRX0066"/>
    <d v="2024-12-04T00:00:00"/>
    <s v="CUST024"/>
    <x v="5"/>
    <s v="P002"/>
    <s v="Smartphone"/>
    <x v="0"/>
    <n v="4"/>
    <n v="699.99"/>
    <s v="Credit Card"/>
    <x v="2"/>
    <s v="Premium"/>
    <d v="2022-05-22T00:00:00"/>
    <n v="2799.96"/>
    <x v="0"/>
    <m/>
    <m/>
    <n v="98"/>
  </r>
  <r>
    <s v="TRX0180"/>
    <d v="2024-12-09T00:00:00"/>
    <s v="CUST036"/>
    <x v="20"/>
    <s v="P009"/>
    <s v="Monitor"/>
    <x v="0"/>
    <n v="2"/>
    <n v="249.99"/>
    <s v="Credit Card"/>
    <x v="0"/>
    <s v="Premium"/>
    <d v="2021-07-19T00:00:00"/>
    <n v="499.98"/>
    <x v="0"/>
    <m/>
    <m/>
    <n v="50"/>
  </r>
  <r>
    <s v="TRX0082"/>
    <d v="2024-12-09T00:00:00"/>
    <s v="CUST005"/>
    <x v="47"/>
    <s v="P005"/>
    <s v="Blender"/>
    <x v="1"/>
    <n v="3"/>
    <n v="59.99"/>
    <s v="Cash"/>
    <x v="0"/>
    <s v="Premium"/>
    <d v="2023-05-06T00:00:00"/>
    <n v="179.97"/>
    <x v="0"/>
    <m/>
    <m/>
    <n v="50"/>
  </r>
  <r>
    <s v="TRX0036"/>
    <d v="2024-12-09T00:00:00"/>
    <s v="CUST008"/>
    <x v="27"/>
    <s v="P004"/>
    <s v="Coffee Maker"/>
    <x v="1"/>
    <n v="4"/>
    <n v="79.989999999999995"/>
    <s v="Debit Card"/>
    <x v="4"/>
    <s v="Standard"/>
    <d v="2022-12-26T00:00:00"/>
    <n v="319.95999999999998"/>
    <x v="0"/>
    <m/>
    <m/>
    <n v="67"/>
  </r>
  <r>
    <s v="TRX0198"/>
    <d v="2024-12-10T00:00:00"/>
    <s v="CUST030"/>
    <x v="22"/>
    <s v="P004"/>
    <s v="Coffee Maker"/>
    <x v="1"/>
    <n v="3"/>
    <n v="79.989999999999995"/>
    <s v="Debit Card"/>
    <x v="4"/>
    <s v="Standard"/>
    <d v="2022-08-06T00:00:00"/>
    <n v="239.97"/>
    <x v="0"/>
    <m/>
    <m/>
    <n v="108"/>
  </r>
  <r>
    <s v="TRX0032"/>
    <d v="2024-12-12T00:00:00"/>
    <s v="CUST041"/>
    <x v="10"/>
    <s v="P001"/>
    <s v="Laptop"/>
    <x v="0"/>
    <n v="2"/>
    <n v="899.99"/>
    <s v="Cash"/>
    <x v="2"/>
    <s v="Basic"/>
    <d v="2021-07-29T00:00:00"/>
    <n v="1799.98"/>
    <x v="0"/>
    <m/>
    <m/>
    <n v="67"/>
  </r>
  <r>
    <s v="TRX0081"/>
    <d v="2024-12-15T00:00:00"/>
    <s v="CUST007"/>
    <x v="35"/>
    <s v="P008"/>
    <s v="Bookshelf"/>
    <x v="2"/>
    <n v="1"/>
    <n v="149.99"/>
    <s v="Debit Card"/>
    <x v="4"/>
    <s v="Standard"/>
    <d v="2023-10-01T00:00:00"/>
    <n v="149.99"/>
    <x v="0"/>
    <m/>
    <m/>
    <n v="98"/>
  </r>
  <r>
    <s v="TRX0224"/>
    <d v="2024-12-15T00:00:00"/>
    <s v="CUST031"/>
    <x v="26"/>
    <s v="P007"/>
    <s v="Desk"/>
    <x v="2"/>
    <n v="2"/>
    <n v="299.99"/>
    <s v="Cash"/>
    <x v="4"/>
    <s v="Premium"/>
    <d v="2022-06-12T00:00:00"/>
    <n v="599.98"/>
    <x v="0"/>
    <m/>
    <m/>
    <n v="99"/>
  </r>
  <r>
    <s v="TRX0028"/>
    <d v="2024-12-18T00:00:00"/>
    <s v="CUST002"/>
    <x v="25"/>
    <s v="P005"/>
    <s v="Blender"/>
    <x v="1"/>
    <n v="2"/>
    <n v="59.99"/>
    <s v="Cash"/>
    <x v="3"/>
    <s v="Basic"/>
    <d v="2023-09-22T00:00:00"/>
    <n v="119.98"/>
    <x v="0"/>
    <m/>
    <m/>
    <n v="67"/>
  </r>
  <r>
    <s v="TRX0183"/>
    <d v="2024-12-19T00:00:00"/>
    <s v="CUST007"/>
    <x v="35"/>
    <s v="P010"/>
    <s v="Keyboard"/>
    <x v="0"/>
    <n v="1"/>
    <n v="89.99"/>
    <s v="Debit Card"/>
    <x v="0"/>
    <s v="Standard"/>
    <d v="2022-07-18T00:00:00"/>
    <n v="89.99"/>
    <x v="0"/>
    <m/>
    <m/>
    <n v="108"/>
  </r>
  <r>
    <s v="TRX0163"/>
    <d v="2024-12-19T00:00:00"/>
    <s v="CUST019"/>
    <x v="29"/>
    <s v="P001"/>
    <s v="Laptop"/>
    <x v="0"/>
    <n v="5"/>
    <n v="899.99"/>
    <s v="Debit Card"/>
    <x v="4"/>
    <s v="Standard"/>
    <d v="2022-03-05T00:00:00"/>
    <n v="4499.95"/>
    <x v="0"/>
    <m/>
    <m/>
    <n v="48"/>
  </r>
  <r>
    <s v="TRX0046"/>
    <d v="2024-12-20T00:00:00"/>
    <s v="CUST003"/>
    <x v="4"/>
    <s v="P008"/>
    <s v="Bookshelf"/>
    <x v="2"/>
    <n v="2"/>
    <n v="149.99"/>
    <s v="Cash"/>
    <x v="1"/>
    <s v="Basic"/>
    <d v="2023-11-09T00:00:00"/>
    <n v="299.98"/>
    <x v="0"/>
    <m/>
    <m/>
    <n v="108"/>
  </r>
  <r>
    <s v="TRX0164"/>
    <d v="2024-12-22T00:00:00"/>
    <s v="CUST014"/>
    <x v="21"/>
    <s v="P003"/>
    <s v="Headphones"/>
    <x v="0"/>
    <n v="2"/>
    <n v="149.99"/>
    <s v="Debit Card"/>
    <x v="3"/>
    <s v="Premium"/>
    <d v="2023-12-20T00:00:00"/>
    <n v="299.98"/>
    <x v="0"/>
    <m/>
    <m/>
    <n v="67"/>
  </r>
  <r>
    <s v="TRX0008"/>
    <d v="2024-12-22T00:00:00"/>
    <s v="CUST007"/>
    <x v="35"/>
    <s v="P008"/>
    <s v="Bookshelf"/>
    <x v="2"/>
    <n v="3"/>
    <n v="149.99"/>
    <s v="Debit Card"/>
    <x v="2"/>
    <s v="Standard"/>
    <d v="2021-11-22T00:00:00"/>
    <n v="449.97"/>
    <x v="0"/>
    <m/>
    <m/>
    <n v="67"/>
  </r>
  <r>
    <s v="TRX0171"/>
    <d v="2024-12-23T00:00:00"/>
    <s v="CUST021"/>
    <x v="2"/>
    <s v="P007"/>
    <s v="Desk"/>
    <x v="2"/>
    <n v="2"/>
    <n v="299.99"/>
    <s v="PayPal"/>
    <x v="1"/>
    <s v="Basic"/>
    <d v="2022-06-09T00:00:00"/>
    <n v="599.98"/>
    <x v="0"/>
    <m/>
    <m/>
    <n v="43"/>
  </r>
  <r>
    <s v="TRX0143"/>
    <d v="2024-12-28T00:00:00"/>
    <s v="CUST003"/>
    <x v="4"/>
    <s v="P007"/>
    <s v="Desk"/>
    <x v="2"/>
    <n v="2"/>
    <n v="299.99"/>
    <s v="Cash"/>
    <x v="3"/>
    <s v="Basic"/>
    <d v="2022-07-29T00:00:00"/>
    <n v="599.98"/>
    <x v="0"/>
    <m/>
    <m/>
    <n v="99"/>
  </r>
  <r>
    <s v="TRX0165"/>
    <d v="2024-12-28T00:00:00"/>
    <s v="CUST030"/>
    <x v="22"/>
    <s v="P006"/>
    <s v="Office Chair"/>
    <x v="2"/>
    <n v="4"/>
    <n v="199.99"/>
    <s v="Credit Card"/>
    <x v="0"/>
    <s v="Basic"/>
    <d v="2021-11-23T00:00:00"/>
    <n v="799.96"/>
    <x v="0"/>
    <m/>
    <m/>
    <n v="108"/>
  </r>
  <r>
    <s v="TRX0156"/>
    <d v="2024-12-29T00:00:00"/>
    <s v="CUST009"/>
    <x v="7"/>
    <s v="P010"/>
    <s v="Keyboard"/>
    <x v="0"/>
    <n v="1"/>
    <n v="89.99"/>
    <s v="Credit Card"/>
    <x v="1"/>
    <s v="Premium"/>
    <d v="2022-01-30T00:00:00"/>
    <n v="89.99"/>
    <x v="0"/>
    <m/>
    <m/>
    <n v="67"/>
  </r>
  <r>
    <s v="TRX0147"/>
    <d v="2024-12-29T00:00:00"/>
    <s v="CUST036"/>
    <x v="20"/>
    <s v="P008"/>
    <s v="Bookshelf"/>
    <x v="2"/>
    <n v="5"/>
    <n v="149.99"/>
    <s v="Cash"/>
    <x v="0"/>
    <s v="Premium"/>
    <d v="2024-02-25T00:00:00"/>
    <n v="749.95"/>
    <x v="0"/>
    <m/>
    <m/>
    <n v="99"/>
  </r>
  <r>
    <s v="TRX0207"/>
    <d v="2024-12-31T00:00:00"/>
    <s v="CUST025"/>
    <x v="14"/>
    <s v="P001"/>
    <s v="Laptop"/>
    <x v="0"/>
    <n v="1"/>
    <n v="899.99"/>
    <s v="PayPal"/>
    <x v="2"/>
    <s v="Premium"/>
    <d v="2023-05-04T00:00:00"/>
    <n v="899.99"/>
    <x v="0"/>
    <m/>
    <m/>
    <n v="67"/>
  </r>
  <r>
    <s v="TRX0056"/>
    <d v="2025-01-03T00:00:00"/>
    <s v="CUST019"/>
    <x v="29"/>
    <s v="P010"/>
    <s v="Keyboard"/>
    <x v="0"/>
    <n v="2"/>
    <n v="89.99"/>
    <s v="Credit Card"/>
    <x v="1"/>
    <s v="Premium"/>
    <d v="2022-01-03T00:00:00"/>
    <n v="179.98"/>
    <x v="0"/>
    <m/>
    <m/>
    <n v="48"/>
  </r>
  <r>
    <s v="TRX0026"/>
    <d v="2025-01-04T00:00:00"/>
    <s v="CUST037"/>
    <x v="48"/>
    <s v="P001"/>
    <s v="Laptop"/>
    <x v="0"/>
    <n v="1"/>
    <n v="899.99"/>
    <s v="PayPal"/>
    <x v="2"/>
    <s v="Standard"/>
    <d v="2022-07-10T00:00:00"/>
    <n v="899.99"/>
    <x v="0"/>
    <m/>
    <m/>
    <n v="67"/>
  </r>
  <r>
    <s v="TRX0237"/>
    <d v="2025-01-06T00:00:00"/>
    <s v="CUST006"/>
    <x v="24"/>
    <s v="P003"/>
    <s v="Headphones"/>
    <x v="0"/>
    <n v="5"/>
    <n v="149.99"/>
    <s v="PayPal"/>
    <x v="4"/>
    <s v="Premium"/>
    <d v="2022-09-20T00:00:00"/>
    <n v="749.95"/>
    <x v="0"/>
    <m/>
    <m/>
    <n v="84"/>
  </r>
  <r>
    <s v="TRX0091"/>
    <d v="2025-01-06T00:00:00"/>
    <s v="CUST003"/>
    <x v="4"/>
    <s v="P007"/>
    <s v="Desk"/>
    <x v="2"/>
    <n v="3"/>
    <n v="299.99"/>
    <s v="Cash"/>
    <x v="1"/>
    <s v="Standard"/>
    <d v="2021-08-14T00:00:00"/>
    <n v="899.97"/>
    <x v="0"/>
    <m/>
    <m/>
    <n v="43"/>
  </r>
  <r>
    <s v="TRX0125"/>
    <d v="2025-01-09T00:00:00"/>
    <s v="CUST026"/>
    <x v="8"/>
    <s v="P002"/>
    <s v="Smartphone"/>
    <x v="0"/>
    <n v="3"/>
    <n v="699.99"/>
    <s v="Credit Card"/>
    <x v="0"/>
    <s v="Premium"/>
    <d v="2023-06-28T00:00:00"/>
    <n v="2099.9699999999998"/>
    <x v="0"/>
    <m/>
    <m/>
    <n v="86"/>
  </r>
  <r>
    <s v="TRX0223"/>
    <d v="2025-01-10T00:00:00"/>
    <s v="CUST036"/>
    <x v="20"/>
    <s v="P006"/>
    <s v="Office Chair"/>
    <x v="2"/>
    <n v="5"/>
    <n v="199.99"/>
    <s v="PayPal"/>
    <x v="0"/>
    <s v="Standard"/>
    <d v="2022-03-13T00:00:00"/>
    <n v="999.95"/>
    <x v="0"/>
    <m/>
    <m/>
    <n v="48"/>
  </r>
  <r>
    <s v="TRX0243"/>
    <d v="2025-01-10T00:00:00"/>
    <s v="CUST048"/>
    <x v="16"/>
    <s v="P009"/>
    <s v="Monitor"/>
    <x v="0"/>
    <n v="5"/>
    <n v="249.99"/>
    <s v="Credit Card"/>
    <x v="1"/>
    <s v="Basic"/>
    <d v="2024-02-08T00:00:00"/>
    <n v="1249.95"/>
    <x v="0"/>
    <m/>
    <m/>
    <n v="84"/>
  </r>
  <r>
    <s v="TRX0084"/>
    <d v="2025-01-11T00:00:00"/>
    <s v="CUST031"/>
    <x v="26"/>
    <s v="P003"/>
    <s v="Headphones"/>
    <x v="0"/>
    <n v="4"/>
    <n v="149.99"/>
    <s v="Debit Card"/>
    <x v="4"/>
    <s v="Standard"/>
    <d v="2021-12-06T00:00:00"/>
    <n v="599.96"/>
    <x v="0"/>
    <m/>
    <m/>
    <n v="50"/>
  </r>
  <r>
    <s v="TRX0238"/>
    <d v="2025-01-11T00:00:00"/>
    <s v="CUST038"/>
    <x v="12"/>
    <s v="P002"/>
    <s v="Smartphone"/>
    <x v="0"/>
    <n v="3"/>
    <n v="699.99"/>
    <s v="Cash"/>
    <x v="2"/>
    <s v="Premium"/>
    <d v="2022-02-10T00:00:00"/>
    <n v="2099.9699999999998"/>
    <x v="0"/>
    <m/>
    <m/>
    <n v="67"/>
  </r>
  <r>
    <s v="TRX0102"/>
    <d v="2025-01-13T00:00:00"/>
    <s v="CUST045"/>
    <x v="46"/>
    <s v="P004"/>
    <s v="Coffee Maker"/>
    <x v="1"/>
    <n v="1"/>
    <n v="79.989999999999995"/>
    <s v="Credit Card"/>
    <x v="1"/>
    <s v="Basic"/>
    <d v="2024-01-31T00:00:00"/>
    <n v="79.989999999999995"/>
    <x v="0"/>
    <m/>
    <m/>
    <n v="86"/>
  </r>
  <r>
    <s v="TRX0022"/>
    <d v="2025-01-13T00:00:00"/>
    <s v="CUST025"/>
    <x v="14"/>
    <s v="P007"/>
    <s v="Desk"/>
    <x v="2"/>
    <n v="1"/>
    <n v="299.99"/>
    <s v="Credit Card"/>
    <x v="2"/>
    <s v="Basic"/>
    <d v="2021-08-28T00:00:00"/>
    <n v="299.99"/>
    <x v="0"/>
    <m/>
    <m/>
    <n v="48"/>
  </r>
  <r>
    <s v="TRX0087"/>
    <d v="2025-01-14T00:00:00"/>
    <s v="CUST028"/>
    <x v="32"/>
    <s v="P009"/>
    <s v="Monitor"/>
    <x v="0"/>
    <n v="4"/>
    <n v="249.99"/>
    <s v="Credit Card"/>
    <x v="2"/>
    <s v="Premium"/>
    <d v="2021-09-21T00:00:00"/>
    <n v="999.96"/>
    <x v="0"/>
    <m/>
    <m/>
    <n v="67"/>
  </r>
  <r>
    <s v="TRX0107"/>
    <d v="2025-01-14T00:00:00"/>
    <s v="CUST030"/>
    <x v="22"/>
    <s v="P003"/>
    <s v="Headphones"/>
    <x v="0"/>
    <n v="2"/>
    <n v="149.99"/>
    <s v="Cash"/>
    <x v="2"/>
    <s v="Standard"/>
    <d v="2022-12-18T00:00:00"/>
    <n v="299.98"/>
    <x v="0"/>
    <m/>
    <m/>
    <n v="43"/>
  </r>
  <r>
    <s v="TRX0051"/>
    <d v="2025-01-14T00:00:00"/>
    <s v="CUST032"/>
    <x v="42"/>
    <s v="P007"/>
    <s v="Desk"/>
    <x v="2"/>
    <n v="3"/>
    <n v="299.99"/>
    <s v="Credit Card"/>
    <x v="1"/>
    <s v="Basic"/>
    <d v="2023-10-05T00:00:00"/>
    <n v="899.97"/>
    <x v="0"/>
    <m/>
    <m/>
    <n v="67"/>
  </r>
  <r>
    <s v="TRX0106"/>
    <d v="2025-01-16T00:00:00"/>
    <s v="CUST039"/>
    <x v="40"/>
    <s v="P006"/>
    <s v="Office Chair"/>
    <x v="2"/>
    <n v="4"/>
    <n v="199.99"/>
    <s v="Debit Card"/>
    <x v="1"/>
    <s v="Standard"/>
    <d v="2021-12-14T00:00:00"/>
    <n v="799.96"/>
    <x v="0"/>
    <m/>
    <m/>
    <n v="108"/>
  </r>
  <r>
    <s v="TRX0059"/>
    <d v="2025-01-16T00:00:00"/>
    <s v="CUST016"/>
    <x v="39"/>
    <s v="P007"/>
    <s v="Desk"/>
    <x v="2"/>
    <n v="5"/>
    <n v="299.99"/>
    <s v="Debit Card"/>
    <x v="0"/>
    <s v="Basic"/>
    <d v="2021-08-23T00:00:00"/>
    <n v="1499.95"/>
    <x v="0"/>
    <m/>
    <m/>
    <n v="98"/>
  </r>
  <r>
    <s v="TRX0072"/>
    <d v="2025-01-16T00:00:00"/>
    <s v="CUST009"/>
    <x v="7"/>
    <s v="P008"/>
    <s v="Bookshelf"/>
    <x v="2"/>
    <n v="3"/>
    <n v="149.99"/>
    <s v="Credit Card"/>
    <x v="4"/>
    <s v="Standard"/>
    <d v="2021-07-18T00:00:00"/>
    <n v="449.97"/>
    <x v="0"/>
    <m/>
    <m/>
    <n v="98"/>
  </r>
  <r>
    <s v="TRX0110"/>
    <d v="2025-01-19T00:00:00"/>
    <s v="CUST006"/>
    <x v="24"/>
    <s v="P005"/>
    <s v="Blender"/>
    <x v="1"/>
    <n v="5"/>
    <n v="59.99"/>
    <s v="Debit Card"/>
    <x v="4"/>
    <s v="Basic"/>
    <d v="2022-03-22T00:00:00"/>
    <n v="299.95"/>
    <x v="0"/>
    <m/>
    <m/>
    <n v="86"/>
  </r>
  <r>
    <s v="TRX0126"/>
    <d v="2025-01-25T00:00:00"/>
    <s v="CUST022"/>
    <x v="9"/>
    <s v="P005"/>
    <s v="Blender"/>
    <x v="1"/>
    <n v="4"/>
    <n v="59.99"/>
    <s v="Debit Card"/>
    <x v="4"/>
    <s v="Standard"/>
    <d v="2022-01-03T00:00:00"/>
    <n v="239.96"/>
    <x v="0"/>
    <m/>
    <m/>
    <n v="67"/>
  </r>
  <r>
    <s v="TRX0159"/>
    <d v="2025-01-26T00:00:00"/>
    <s v="CUST024"/>
    <x v="5"/>
    <s v="P009"/>
    <s v="Monitor"/>
    <x v="0"/>
    <n v="4"/>
    <n v="249.99"/>
    <s v="Debit Card"/>
    <x v="0"/>
    <s v="Premium"/>
    <d v="2023-10-18T00:00:00"/>
    <n v="999.96"/>
    <x v="0"/>
    <m/>
    <m/>
    <n v="67"/>
  </r>
  <r>
    <s v="TRX0030"/>
    <d v="2025-01-29T00:00:00"/>
    <s v="CUST011"/>
    <x v="44"/>
    <s v="P001"/>
    <s v="Laptop"/>
    <x v="0"/>
    <n v="4"/>
    <n v="899.99"/>
    <s v="PayPal"/>
    <x v="0"/>
    <s v="Basic"/>
    <d v="2022-06-22T00:00:00"/>
    <n v="3599.96"/>
    <x v="0"/>
    <m/>
    <m/>
    <n v="84"/>
  </r>
  <r>
    <s v="TRX0178"/>
    <d v="2025-01-29T00:00:00"/>
    <s v="CUST025"/>
    <x v="14"/>
    <s v="P007"/>
    <s v="Desk"/>
    <x v="2"/>
    <n v="3"/>
    <n v="299.99"/>
    <s v="Debit Card"/>
    <x v="3"/>
    <s v="Standard"/>
    <d v="2023-01-26T00:00:00"/>
    <n v="899.97"/>
    <x v="0"/>
    <m/>
    <m/>
    <n v="84"/>
  </r>
  <r>
    <s v="TRX0188"/>
    <d v="2025-01-29T00:00:00"/>
    <s v="CUST045"/>
    <x v="46"/>
    <s v="P002"/>
    <s v="Smartphone"/>
    <x v="0"/>
    <n v="2"/>
    <n v="699.99"/>
    <s v="Debit Card"/>
    <x v="0"/>
    <s v="Premium"/>
    <d v="2022-04-30T00:00:00"/>
    <n v="1399.98"/>
    <x v="0"/>
    <m/>
    <m/>
    <n v="99"/>
  </r>
  <r>
    <s v="TRX0010"/>
    <d v="2025-01-31T00:00:00"/>
    <s v="CUST026"/>
    <x v="8"/>
    <s v="P002"/>
    <s v="Smartphone"/>
    <x v="0"/>
    <n v="4"/>
    <n v="699.99"/>
    <s v="Debit Card"/>
    <x v="3"/>
    <s v="Premium"/>
    <d v="2022-05-11T00:00:00"/>
    <n v="2799.96"/>
    <x v="0"/>
    <m/>
    <m/>
    <n v="99"/>
  </r>
  <r>
    <s v="TRX0069"/>
    <d v="2025-01-31T00:00:00"/>
    <s v="CUST029"/>
    <x v="23"/>
    <s v="P010"/>
    <s v="Keyboard"/>
    <x v="0"/>
    <n v="2"/>
    <n v="89.99"/>
    <s v="Debit Card"/>
    <x v="1"/>
    <s v="Basic"/>
    <d v="2022-08-04T00:00:00"/>
    <n v="179.98"/>
    <x v="0"/>
    <m/>
    <m/>
    <n v="98"/>
  </r>
  <r>
    <s v="TRX0166"/>
    <d v="2025-01-31T00:00:00"/>
    <s v="CUST003"/>
    <x v="4"/>
    <s v="P010"/>
    <s v="Keyboard"/>
    <x v="0"/>
    <n v="3"/>
    <n v="89.99"/>
    <s v="Debit Card"/>
    <x v="1"/>
    <s v="Premium"/>
    <d v="2024-01-16T00:00:00"/>
    <n v="269.97000000000003"/>
    <x v="0"/>
    <m/>
    <m/>
    <n v="108"/>
  </r>
  <r>
    <s v="TRX0219"/>
    <d v="2025-02-04T00:00:00"/>
    <s v="CUST037"/>
    <x v="48"/>
    <s v="P005"/>
    <s v="Blender"/>
    <x v="1"/>
    <n v="1"/>
    <n v="59.99"/>
    <s v="Debit Card"/>
    <x v="0"/>
    <s v="Standard"/>
    <d v="2023-04-29T00:00:00"/>
    <n v="59.99"/>
    <x v="0"/>
    <m/>
    <m/>
    <n v="67"/>
  </r>
  <r>
    <s v="TRX0024"/>
    <d v="2025-02-07T00:00:00"/>
    <s v="CUST042"/>
    <x v="43"/>
    <s v="P008"/>
    <s v="Bookshelf"/>
    <x v="2"/>
    <n v="3"/>
    <n v="149.99"/>
    <s v="Debit Card"/>
    <x v="2"/>
    <s v="Premium"/>
    <d v="2022-01-03T00:00:00"/>
    <n v="449.97"/>
    <x v="0"/>
    <m/>
    <m/>
    <n v="98"/>
  </r>
  <r>
    <s v="TRX0105"/>
    <d v="2025-02-07T00:00:00"/>
    <s v="CUST048"/>
    <x v="16"/>
    <s v="P007"/>
    <s v="Desk"/>
    <x v="2"/>
    <n v="5"/>
    <n v="299.99"/>
    <s v="Credit Card"/>
    <x v="1"/>
    <s v="Basic"/>
    <d v="2023-02-02T00:00:00"/>
    <n v="1499.95"/>
    <x v="0"/>
    <m/>
    <m/>
    <n v="50"/>
  </r>
  <r>
    <s v="TRX0011"/>
    <d v="2025-02-08T00:00:00"/>
    <s v="CUST040"/>
    <x v="30"/>
    <s v="P005"/>
    <s v="Blender"/>
    <x v="1"/>
    <n v="5"/>
    <n v="59.99"/>
    <s v="Debit Card"/>
    <x v="0"/>
    <s v="Standard"/>
    <d v="2023-09-08T00:00:00"/>
    <n v="299.95"/>
    <x v="0"/>
    <m/>
    <m/>
    <n v="43"/>
  </r>
  <r>
    <s v="TRX0187"/>
    <d v="2025-02-13T00:00:00"/>
    <s v="CUST036"/>
    <x v="20"/>
    <s v="P004"/>
    <s v="Coffee Maker"/>
    <x v="1"/>
    <n v="3"/>
    <n v="79.989999999999995"/>
    <s v="Cash"/>
    <x v="4"/>
    <s v="Premium"/>
    <d v="2021-08-28T00:00:00"/>
    <n v="239.97"/>
    <x v="0"/>
    <m/>
    <m/>
    <n v="99"/>
  </r>
  <r>
    <s v="TRX0089"/>
    <d v="2025-02-16T00:00:00"/>
    <s v="CUST021"/>
    <x v="2"/>
    <s v="P006"/>
    <s v="Office Chair"/>
    <x v="2"/>
    <n v="3"/>
    <n v="199.99"/>
    <s v="Cash"/>
    <x v="0"/>
    <s v="Basic"/>
    <d v="2022-06-23T00:00:00"/>
    <n v="599.97"/>
    <x v="0"/>
    <m/>
    <m/>
    <n v="108"/>
  </r>
  <r>
    <s v="TRX0196"/>
    <d v="2025-02-16T00:00:00"/>
    <s v="CUST023"/>
    <x v="0"/>
    <s v="P010"/>
    <s v="Keyboard"/>
    <x v="0"/>
    <n v="2"/>
    <n v="89.99"/>
    <s v="PayPal"/>
    <x v="0"/>
    <s v="Basic"/>
    <d v="2023-11-27T00:00:00"/>
    <n v="179.98"/>
    <x v="0"/>
    <m/>
    <m/>
    <n v="84"/>
  </r>
  <r>
    <s v="TRX0118"/>
    <d v="2025-02-17T00:00:00"/>
    <s v="CUST015"/>
    <x v="45"/>
    <s v="P008"/>
    <s v="Bookshelf"/>
    <x v="2"/>
    <n v="2"/>
    <n v="149.99"/>
    <s v="Cash"/>
    <x v="1"/>
    <s v="Premium"/>
    <d v="2022-06-16T00:00:00"/>
    <n v="299.98"/>
    <x v="0"/>
    <m/>
    <m/>
    <n v="108"/>
  </r>
  <r>
    <s v="TRX0179"/>
    <d v="2025-02-19T00:00:00"/>
    <s v="CUST029"/>
    <x v="23"/>
    <s v="P002"/>
    <s v="Smartphone"/>
    <x v="0"/>
    <n v="5"/>
    <n v="699.99"/>
    <s v="PayPal"/>
    <x v="1"/>
    <s v="Premium"/>
    <d v="2024-03-01T00:00:00"/>
    <n v="3499.95"/>
    <x v="0"/>
    <m/>
    <m/>
    <n v="67"/>
  </r>
  <r>
    <s v="TRX0168"/>
    <d v="2025-02-19T00:00:00"/>
    <s v="CUST003"/>
    <x v="4"/>
    <s v="P008"/>
    <s v="Bookshelf"/>
    <x v="2"/>
    <n v="3"/>
    <n v="149.99"/>
    <s v="PayPal"/>
    <x v="0"/>
    <s v="Standard"/>
    <d v="2022-03-13T00:00:00"/>
    <n v="449.97"/>
    <x v="0"/>
    <m/>
    <m/>
    <n v="43"/>
  </r>
  <r>
    <s v="TRX0214"/>
    <d v="2025-02-20T00:00:00"/>
    <s v="CUST018"/>
    <x v="17"/>
    <s v="P001"/>
    <s v="Laptop"/>
    <x v="0"/>
    <n v="3"/>
    <n v="899.99"/>
    <s v="Cash"/>
    <x v="4"/>
    <s v="Standard"/>
    <d v="2022-02-21T00:00:00"/>
    <n v="2699.97"/>
    <x v="0"/>
    <m/>
    <m/>
    <n v="67"/>
  </r>
  <r>
    <s v="TRX0221"/>
    <d v="2025-02-20T00:00:00"/>
    <s v="CUST033"/>
    <x v="37"/>
    <s v="P006"/>
    <s v="Office Chair"/>
    <x v="2"/>
    <n v="3"/>
    <n v="199.99"/>
    <s v="Cash"/>
    <x v="3"/>
    <s v="Premium"/>
    <d v="2022-09-19T00:00:00"/>
    <n v="599.97"/>
    <x v="0"/>
    <m/>
    <m/>
    <n v="84"/>
  </r>
  <r>
    <s v="TRX0083"/>
    <d v="2025-02-22T00:00:00"/>
    <s v="CUST017"/>
    <x v="6"/>
    <s v="P007"/>
    <s v="Desk"/>
    <x v="2"/>
    <n v="5"/>
    <n v="299.99"/>
    <s v="Cash"/>
    <x v="3"/>
    <s v="Standard"/>
    <d v="2023-08-04T00:00:00"/>
    <n v="1499.95"/>
    <x v="0"/>
    <m/>
    <m/>
    <n v="84"/>
  </r>
  <r>
    <s v="TRX0151"/>
    <d v="2025-02-22T00:00:00"/>
    <s v="CUST040"/>
    <x v="30"/>
    <s v="P002"/>
    <s v="Smartphone"/>
    <x v="0"/>
    <n v="1"/>
    <n v="699.99"/>
    <s v="PayPal"/>
    <x v="3"/>
    <s v="Basic"/>
    <d v="2023-01-08T00:00:00"/>
    <n v="699.99"/>
    <x v="0"/>
    <m/>
    <m/>
    <n v="108"/>
  </r>
  <r>
    <s v="TRX0047"/>
    <d v="2025-02-23T00:00:00"/>
    <s v="CUST042"/>
    <x v="43"/>
    <s v="P002"/>
    <s v="Smartphone"/>
    <x v="0"/>
    <n v="1"/>
    <n v="699.99"/>
    <s v="Cash"/>
    <x v="2"/>
    <s v="Premium"/>
    <d v="2022-01-22T00:00:00"/>
    <n v="699.99"/>
    <x v="0"/>
    <m/>
    <m/>
    <n v="99"/>
  </r>
  <r>
    <s v="TRX0200"/>
    <d v="2025-02-23T00:00:00"/>
    <s v="CUST037"/>
    <x v="48"/>
    <s v="P008"/>
    <s v="Bookshelf"/>
    <x v="2"/>
    <n v="4"/>
    <n v="149.99"/>
    <s v="PayPal"/>
    <x v="2"/>
    <s v="Premium"/>
    <d v="2021-08-04T00:00:00"/>
    <n v="599.96"/>
    <x v="0"/>
    <m/>
    <m/>
    <n v="43"/>
  </r>
  <r>
    <s v="TRX0062"/>
    <d v="2025-02-23T00:00:00"/>
    <s v="CUST016"/>
    <x v="39"/>
    <s v="P010"/>
    <s v="Keyboard"/>
    <x v="0"/>
    <n v="5"/>
    <n v="89.99"/>
    <s v="PayPal"/>
    <x v="3"/>
    <s v="Premium"/>
    <d v="2023-08-02T00:00:00"/>
    <n v="449.95"/>
    <x v="0"/>
    <m/>
    <m/>
    <n v="98"/>
  </r>
  <r>
    <s v="TRX0182"/>
    <d v="2025-02-24T00:00:00"/>
    <s v="CUST031"/>
    <x v="26"/>
    <s v="P006"/>
    <s v="Office Chair"/>
    <x v="2"/>
    <n v="2"/>
    <n v="199.99"/>
    <s v="Cash"/>
    <x v="0"/>
    <s v="Premium"/>
    <d v="2022-01-12T00:00:00"/>
    <n v="399.98"/>
    <x v="0"/>
    <m/>
    <m/>
    <n v="67"/>
  </r>
  <r>
    <s v="TRX0229"/>
    <d v="2025-02-27T00:00:00"/>
    <s v="CUST015"/>
    <x v="45"/>
    <s v="P005"/>
    <s v="Blender"/>
    <x v="1"/>
    <n v="4"/>
    <n v="59.99"/>
    <s v="Cash"/>
    <x v="3"/>
    <s v="Standard"/>
    <d v="2023-05-24T00:00:00"/>
    <n v="239.96"/>
    <x v="0"/>
    <m/>
    <m/>
    <n v="108"/>
  </r>
  <r>
    <s v="TRX0048"/>
    <d v="2025-02-27T00:00:00"/>
    <s v="CUST048"/>
    <x v="16"/>
    <s v="P007"/>
    <s v="Desk"/>
    <x v="2"/>
    <n v="2"/>
    <n v="299.99"/>
    <s v="PayPal"/>
    <x v="1"/>
    <s v="Basic"/>
    <d v="2022-01-15T00:00:00"/>
    <n v="599.98"/>
    <x v="0"/>
    <m/>
    <m/>
    <n v="84"/>
  </r>
  <r>
    <s v="TRX0227"/>
    <d v="2025-03-02T00:00:00"/>
    <s v="CUST017"/>
    <x v="6"/>
    <s v="P008"/>
    <s v="Bookshelf"/>
    <x v="2"/>
    <n v="2"/>
    <n v="149.99"/>
    <s v="Cash"/>
    <x v="0"/>
    <s v="Basic"/>
    <d v="2023-05-22T00:00:00"/>
    <n v="299.98"/>
    <x v="0"/>
    <m/>
    <m/>
    <n v="98"/>
  </r>
  <r>
    <s v="TRX0226"/>
    <d v="2025-03-04T00:00:00"/>
    <s v="CUST039"/>
    <x v="40"/>
    <s v="P002"/>
    <s v="Smartphone"/>
    <x v="0"/>
    <n v="5"/>
    <n v="699.99"/>
    <s v="Debit Card"/>
    <x v="4"/>
    <s v="Premium"/>
    <d v="2023-08-23T00:00:00"/>
    <n v="3499.95"/>
    <x v="0"/>
    <m/>
    <m/>
    <n v="99"/>
  </r>
  <r>
    <s v="TRX0053"/>
    <d v="2025-03-05T00:00:00"/>
    <s v="CUST043"/>
    <x v="11"/>
    <s v="P005"/>
    <s v="Blender"/>
    <x v="1"/>
    <n v="5"/>
    <n v="59.99"/>
    <s v="Cash"/>
    <x v="3"/>
    <s v="Premium"/>
    <d v="2023-12-31T00:00:00"/>
    <n v="299.95"/>
    <x v="0"/>
    <m/>
    <m/>
    <n v="86"/>
  </r>
  <r>
    <s v="TRX0233"/>
    <d v="2025-03-07T00:00:00"/>
    <s v="CUST023"/>
    <x v="0"/>
    <s v="P010"/>
    <s v="Keyboard"/>
    <x v="0"/>
    <n v="2"/>
    <n v="89.99"/>
    <s v="Credit Card"/>
    <x v="3"/>
    <s v="Premium"/>
    <d v="2024-01-04T00:00:00"/>
    <n v="179.98"/>
    <x v="0"/>
    <m/>
    <m/>
    <n v="108"/>
  </r>
  <r>
    <s v="TRX0175"/>
    <d v="2025-03-07T00:00:00"/>
    <s v="CUST030"/>
    <x v="22"/>
    <s v="P009"/>
    <s v="Monitor"/>
    <x v="0"/>
    <n v="5"/>
    <n v="249.99"/>
    <s v="Cash"/>
    <x v="4"/>
    <s v="Standard"/>
    <d v="2021-12-10T00:00:00"/>
    <n v="1249.95"/>
    <x v="0"/>
    <m/>
    <m/>
    <n v="67"/>
  </r>
  <r>
    <s v="TRX0186"/>
    <d v="2025-03-08T00:00:00"/>
    <s v="CUST039"/>
    <x v="40"/>
    <s v="P008"/>
    <s v="Bookshelf"/>
    <x v="2"/>
    <n v="2"/>
    <n v="149.99"/>
    <s v="PayPal"/>
    <x v="0"/>
    <s v="Premium"/>
    <d v="2022-03-12T00:00:00"/>
    <n v="299.98"/>
    <x v="0"/>
    <m/>
    <m/>
    <n v="108"/>
  </r>
  <r>
    <s v="TRX0016"/>
    <d v="2025-03-08T00:00:00"/>
    <s v="CUST035"/>
    <x v="28"/>
    <s v="P001"/>
    <s v="Laptop"/>
    <x v="0"/>
    <n v="5"/>
    <n v="899.99"/>
    <s v="PayPal"/>
    <x v="4"/>
    <s v="Premium"/>
    <d v="2024-04-07T00:00:00"/>
    <n v="4499.95"/>
    <x v="0"/>
    <m/>
    <m/>
    <n v="86"/>
  </r>
  <r>
    <s v="TRX0199"/>
    <d v="2025-03-08T00:00:00"/>
    <s v="CUST017"/>
    <x v="6"/>
    <s v="P008"/>
    <s v="Bookshelf"/>
    <x v="2"/>
    <n v="4"/>
    <n v="149.99"/>
    <s v="Cash"/>
    <x v="0"/>
    <s v="Standard"/>
    <d v="2023-12-03T00:00:00"/>
    <n v="599.96"/>
    <x v="0"/>
    <m/>
    <m/>
    <n v="98"/>
  </r>
  <r>
    <s v="TRX0038"/>
    <d v="2025-03-10T00:00:00"/>
    <s v="CUST035"/>
    <x v="28"/>
    <s v="P009"/>
    <s v="Monitor"/>
    <x v="0"/>
    <n v="1"/>
    <n v="249.99"/>
    <s v="Cash"/>
    <x v="2"/>
    <s v="Standard"/>
    <d v="2023-07-10T00:00:00"/>
    <n v="249.99"/>
    <x v="0"/>
    <m/>
    <m/>
    <n v="108"/>
  </r>
  <r>
    <s v="TRX0014"/>
    <d v="2025-03-18T00:00:00"/>
    <s v="CUST033"/>
    <x v="37"/>
    <s v="P005"/>
    <s v="Blender"/>
    <x v="1"/>
    <n v="2"/>
    <n v="59.99"/>
    <s v="Credit Card"/>
    <x v="3"/>
    <s v="Basic"/>
    <d v="2023-09-24T00:00:00"/>
    <n v="119.98"/>
    <x v="0"/>
    <m/>
    <m/>
    <n v="67"/>
  </r>
  <r>
    <s v="TRX0003"/>
    <d v="2025-03-21T00:00:00"/>
    <s v="CUST002"/>
    <x v="25"/>
    <s v="P008"/>
    <s v="Bookshelf"/>
    <x v="2"/>
    <n v="2"/>
    <n v="149.99"/>
    <s v="Cash"/>
    <x v="3"/>
    <s v="Premium"/>
    <d v="2023-11-03T00:00:00"/>
    <n v="299.98"/>
    <x v="0"/>
    <m/>
    <m/>
    <n v="67"/>
  </r>
  <r>
    <s v="TRX0124"/>
    <d v="2025-03-21T00:00:00"/>
    <s v="CUST040"/>
    <x v="30"/>
    <s v="P001"/>
    <s v="Laptop"/>
    <x v="0"/>
    <n v="3"/>
    <n v="899.99"/>
    <s v="Debit Card"/>
    <x v="2"/>
    <s v="Premium"/>
    <d v="2022-11-11T00:00:00"/>
    <n v="2699.97"/>
    <x v="0"/>
    <m/>
    <m/>
    <n v="67"/>
  </r>
  <r>
    <s v="TRX0013"/>
    <d v="2025-03-21T00:00:00"/>
    <s v="CUST024"/>
    <x v="5"/>
    <s v="P001"/>
    <s v="Laptop"/>
    <x v="0"/>
    <n v="3"/>
    <n v="899.99"/>
    <s v="PayPal"/>
    <x v="2"/>
    <s v="Basic"/>
    <d v="2023-02-18T00:00:00"/>
    <n v="2699.97"/>
    <x v="0"/>
    <m/>
    <m/>
    <n v="108"/>
  </r>
  <r>
    <s v="TRX0019"/>
    <d v="2025-03-23T00:00:00"/>
    <s v="CUST023"/>
    <x v="0"/>
    <s v="P007"/>
    <s v="Desk"/>
    <x v="2"/>
    <n v="3"/>
    <n v="299.99"/>
    <s v="Credit Card"/>
    <x v="3"/>
    <s v="Premium"/>
    <d v="2023-11-04T00:00:00"/>
    <n v="899.97"/>
    <x v="0"/>
    <m/>
    <m/>
    <n v="50"/>
  </r>
  <r>
    <s v="TRX0050"/>
    <d v="2025-03-24T00:00:00"/>
    <s v="CUST001"/>
    <x v="49"/>
    <s v="P008"/>
    <s v="Bookshelf"/>
    <x v="2"/>
    <n v="4"/>
    <n v="149.99"/>
    <s v="PayPal"/>
    <x v="3"/>
    <s v="Standard"/>
    <d v="2021-12-30T00:00:00"/>
    <n v="599.96"/>
    <x v="0"/>
    <m/>
    <m/>
    <n v="99"/>
  </r>
  <r>
    <s v="TRX0152"/>
    <d v="2025-03-27T00:00:00"/>
    <s v="CUST044"/>
    <x v="19"/>
    <s v="P004"/>
    <s v="Coffee Maker"/>
    <x v="1"/>
    <n v="4"/>
    <n v="79.989999999999995"/>
    <s v="Credit Card"/>
    <x v="0"/>
    <s v="Basic"/>
    <d v="2023-12-28T00:00:00"/>
    <n v="319.95999999999998"/>
    <x v="0"/>
    <m/>
    <m/>
    <n v="108"/>
  </r>
  <r>
    <s v="TRX0213"/>
    <d v="2025-03-29T00:00:00"/>
    <s v="CUST020"/>
    <x v="36"/>
    <s v="P010"/>
    <s v="Keyboard"/>
    <x v="0"/>
    <n v="5"/>
    <n v="89.99"/>
    <s v="PayPal"/>
    <x v="1"/>
    <s v="Basic"/>
    <d v="2022-05-23T00:00:00"/>
    <n v="449.95"/>
    <x v="0"/>
    <m/>
    <m/>
    <n v="99"/>
  </r>
  <r>
    <s v="TRX0197"/>
    <d v="2025-03-30T00:00:00"/>
    <s v="CUST048"/>
    <x v="16"/>
    <s v="P008"/>
    <s v="Bookshelf"/>
    <x v="2"/>
    <n v="3"/>
    <n v="149.99"/>
    <s v="PayPal"/>
    <x v="0"/>
    <s v="Standard"/>
    <d v="2023-09-02T00:00:00"/>
    <n v="449.97"/>
    <x v="0"/>
    <m/>
    <m/>
    <n v="84"/>
  </r>
  <r>
    <s v="TRX0250"/>
    <d v="2025-03-30T00:00:00"/>
    <s v="CUST026"/>
    <x v="8"/>
    <s v="P010"/>
    <s v="Keyboard"/>
    <x v="0"/>
    <n v="2"/>
    <n v="89.99"/>
    <s v="Debit Card"/>
    <x v="3"/>
    <s v="Premium"/>
    <d v="2021-11-22T00:00:00"/>
    <n v="179.98"/>
    <x v="0"/>
    <m/>
    <m/>
    <n v="67"/>
  </r>
  <r>
    <s v="TRX0068"/>
    <d v="2025-04-01T00:00:00"/>
    <s v="CUST044"/>
    <x v="19"/>
    <s v="P002"/>
    <s v="Smartphone"/>
    <x v="0"/>
    <n v="2"/>
    <n v="699.99"/>
    <s v="PayPal"/>
    <x v="2"/>
    <s v="Standard"/>
    <d v="2022-02-26T00:00:00"/>
    <n v="1399.98"/>
    <x v="0"/>
    <m/>
    <m/>
    <n v="50"/>
  </r>
  <r>
    <s v="TRX0144"/>
    <d v="2025-04-02T00:00:00"/>
    <s v="CUST029"/>
    <x v="23"/>
    <s v="P001"/>
    <s v="Laptop"/>
    <x v="0"/>
    <n v="3"/>
    <n v="899.99"/>
    <s v="Cash"/>
    <x v="0"/>
    <s v="Standard"/>
    <d v="2023-01-27T00:00:00"/>
    <n v="2699.97"/>
    <x v="0"/>
    <m/>
    <m/>
    <n v="99"/>
  </r>
  <r>
    <s v="TRX0039"/>
    <d v="2025-04-08T00:00:00"/>
    <s v="CUST048"/>
    <x v="16"/>
    <s v="P004"/>
    <s v="Coffee Maker"/>
    <x v="1"/>
    <n v="3"/>
    <n v="79.989999999999995"/>
    <s v="Credit Card"/>
    <x v="2"/>
    <s v="Basic"/>
    <d v="2021-11-11T00:00:00"/>
    <n v="239.97"/>
    <x v="0"/>
    <m/>
    <m/>
    <n v="84"/>
  </r>
  <r>
    <s v="TRX0116"/>
    <d v="2025-04-09T00:00:00"/>
    <s v="CUST009"/>
    <x v="7"/>
    <s v="P010"/>
    <s v="Keyboard"/>
    <x v="0"/>
    <n v="1"/>
    <n v="89.99"/>
    <s v="Debit Card"/>
    <x v="4"/>
    <s v="Basic"/>
    <d v="2024-02-24T00:00:00"/>
    <n v="89.99"/>
    <x v="0"/>
    <m/>
    <m/>
    <n v="99"/>
  </r>
  <r>
    <s v="TRX0120"/>
    <d v="2025-04-11T00:00:00"/>
    <s v="CUST045"/>
    <x v="46"/>
    <s v="P002"/>
    <s v="Smartphone"/>
    <x v="0"/>
    <n v="3"/>
    <n v="699.99"/>
    <s v="PayPal"/>
    <x v="2"/>
    <s v="Basic"/>
    <d v="2022-12-14T00:00:00"/>
    <n v="2099.9699999999998"/>
    <x v="0"/>
    <m/>
    <m/>
    <n v="99"/>
  </r>
  <r>
    <s v="TRX0103"/>
    <d v="2025-04-11T00:00:00"/>
    <s v="CUST039"/>
    <x v="40"/>
    <s v="P010"/>
    <s v="Keyboard"/>
    <x v="0"/>
    <n v="2"/>
    <n v="89.99"/>
    <s v="Debit Card"/>
    <x v="4"/>
    <s v="Basic"/>
    <d v="2023-06-11T00:00:00"/>
    <n v="179.98"/>
    <x v="0"/>
    <m/>
    <m/>
    <n v="0"/>
  </r>
  <r>
    <s v="TRX0064"/>
    <d v="2025-04-11T00:00:00"/>
    <s v="CUST031"/>
    <x v="26"/>
    <s v="P010"/>
    <s v="Keyboard"/>
    <x v="0"/>
    <n v="3"/>
    <n v="89.99"/>
    <s v="Debit Card"/>
    <x v="2"/>
    <s v="Premium"/>
    <d v="2022-11-13T00:00:00"/>
    <n v="269.97000000000003"/>
    <x v="0"/>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d v="2024-04-11T00:00:00"/>
    <s v="CUST023"/>
    <s v="Paul Baker"/>
    <s v="P009"/>
    <x v="0"/>
    <s v="Electronics"/>
    <n v="3"/>
    <n v="249.99"/>
    <s v="Cash"/>
    <s v="Central"/>
    <s v="Basic"/>
    <d v="2021-08-17T00:00:00"/>
    <n v="749.97"/>
    <x v="0"/>
  </r>
  <r>
    <s v="TRX0023"/>
    <d v="2024-04-14T00:00:00"/>
    <s v="CUST013"/>
    <s v="Joseph Jackson"/>
    <s v="P009"/>
    <x v="0"/>
    <s v="Electronics"/>
    <n v="3"/>
    <n v="249.99"/>
    <s v="Credit Card"/>
    <s v="Central"/>
    <s v="Premium"/>
    <d v="2022-01-14T00:00:00"/>
    <n v="749.97"/>
    <x v="0"/>
  </r>
  <r>
    <s v="TRX0139"/>
    <d v="2024-04-17T00:00:00"/>
    <s v="CUST021"/>
    <s v="Kevin Scott"/>
    <s v="P005"/>
    <x v="1"/>
    <s v="Appliances"/>
    <n v="3"/>
    <n v="59.99"/>
    <s v="PayPal"/>
    <s v="South"/>
    <s v="Standard"/>
    <d v="2023-12-02T00:00:00"/>
    <n v="179.97"/>
    <x v="0"/>
  </r>
  <r>
    <s v="TRX0043"/>
    <d v="2024-04-18T00:00:00"/>
    <s v="CUST046"/>
    <s v="Kathleen Bennett"/>
    <s v="P005"/>
    <x v="1"/>
    <s v="Appliances"/>
    <n v="3"/>
    <n v="59.99"/>
    <s v="Cash"/>
    <s v="North"/>
    <s v="Premium"/>
    <d v="2023-07-07T00:00:00"/>
    <n v="179.97"/>
    <x v="0"/>
  </r>
  <r>
    <s v="TRX0212"/>
    <d v="2024-04-18T00:00:00"/>
    <s v="CUST003"/>
    <s v="Michael Brown"/>
    <s v="P008"/>
    <x v="2"/>
    <s v="Furniture"/>
    <n v="5"/>
    <n v="149.99"/>
    <s v="Credit Card"/>
    <s v="North"/>
    <s v="Premium"/>
    <d v="2024-01-04T00:00:00"/>
    <n v="749.95"/>
    <x v="0"/>
  </r>
  <r>
    <s v="TRX0092"/>
    <d v="2024-04-21T00:00:00"/>
    <s v="CUST024"/>
    <s v="Dorothy Nelson"/>
    <s v="P005"/>
    <x v="1"/>
    <s v="Appliances"/>
    <n v="2"/>
    <n v="59.99"/>
    <s v="Cash"/>
    <s v="West"/>
    <s v="Standard"/>
    <d v="2022-07-04T00:00:00"/>
    <n v="119.98"/>
    <x v="0"/>
  </r>
  <r>
    <s v="TRX0193"/>
    <d v="2024-04-21T00:00:00"/>
    <s v="CUST024"/>
    <s v="Dorothy Nelson"/>
    <s v="P003"/>
    <x v="3"/>
    <s v="Electronics"/>
    <n v="5"/>
    <n v="149.99"/>
    <s v="Credit Card"/>
    <s v="Central"/>
    <s v="Standard"/>
    <d v="2021-08-10T00:00:00"/>
    <n v="749.95"/>
    <x v="0"/>
  </r>
  <r>
    <s v="TRX0240"/>
    <d v="2024-04-21T00:00:00"/>
    <s v="CUST017"/>
    <s v="Charles Allen"/>
    <s v="P005"/>
    <x v="1"/>
    <s v="Appliances"/>
    <n v="3"/>
    <n v="59.99"/>
    <s v="Debit Card"/>
    <s v="South"/>
    <s v="Basic"/>
    <d v="2023-03-22T00:00:00"/>
    <n v="179.97"/>
    <x v="0"/>
  </r>
  <r>
    <s v="TRX0135"/>
    <d v="2024-04-23T00:00:00"/>
    <s v="CUST009"/>
    <s v="Robert Thomas"/>
    <s v="P001"/>
    <x v="4"/>
    <s v="Electronics"/>
    <n v="3"/>
    <n v="899.99"/>
    <s v="PayPal"/>
    <s v="East"/>
    <s v="Standard"/>
    <d v="2024-01-08T00:00:00"/>
    <n v="2699.97"/>
    <x v="0"/>
  </r>
  <r>
    <s v="TRX0185"/>
    <d v="2024-04-26T00:00:00"/>
    <s v="CUST026"/>
    <s v="Karen Hill"/>
    <s v="P005"/>
    <x v="1"/>
    <s v="Appliances"/>
    <n v="3"/>
    <n v="59.99"/>
    <s v="Cash"/>
    <s v="West"/>
    <s v="Premium"/>
    <d v="2023-10-08T00:00:00"/>
    <n v="179.97"/>
    <x v="0"/>
  </r>
  <r>
    <s v="TRX0138"/>
    <d v="2024-04-26T00:00:00"/>
    <s v="CUST022"/>
    <s v="Susan Green"/>
    <s v="P008"/>
    <x v="2"/>
    <s v="Furniture"/>
    <n v="1"/>
    <n v="149.99"/>
    <s v="Credit Card"/>
    <s v="West"/>
    <s v="Standard"/>
    <d v="2023-06-26T00:00:00"/>
    <n v="149.99"/>
    <x v="0"/>
  </r>
  <r>
    <s v="TRX0209"/>
    <d v="2024-04-26T00:00:00"/>
    <s v="CUST046"/>
    <s v="Kathleen Bennett"/>
    <s v="P008"/>
    <x v="2"/>
    <s v="Furniture"/>
    <n v="5"/>
    <n v="149.99"/>
    <s v="Debit Card"/>
    <s v="North"/>
    <s v="Basic"/>
    <d v="2022-09-26T00:00:00"/>
    <n v="749.95"/>
    <x v="0"/>
  </r>
  <r>
    <s v="TRX0246"/>
    <d v="2024-04-26T00:00:00"/>
    <s v="CUST041"/>
    <s v="Peter Richardson"/>
    <s v="P008"/>
    <x v="2"/>
    <s v="Furniture"/>
    <n v="3"/>
    <n v="149.99"/>
    <s v="Cash"/>
    <s v="North"/>
    <s v="Premium"/>
    <d v="2022-09-02T00:00:00"/>
    <n v="449.97"/>
    <x v="0"/>
  </r>
  <r>
    <s v="TRX0067"/>
    <d v="2024-04-27T00:00:00"/>
    <s v="CUST043"/>
    <s v="Dennis Gray"/>
    <s v="P005"/>
    <x v="1"/>
    <s v="Appliances"/>
    <n v="3"/>
    <n v="59.99"/>
    <s v="Credit Card"/>
    <s v="North"/>
    <s v="Standard"/>
    <d v="2024-02-29T00:00:00"/>
    <n v="179.97"/>
    <x v="0"/>
  </r>
  <r>
    <s v="TRX0191"/>
    <d v="2024-04-27T00:00:00"/>
    <s v="CUST038"/>
    <s v="Michelle Rogers"/>
    <s v="P002"/>
    <x v="5"/>
    <s v="Electronics"/>
    <n v="3"/>
    <n v="699.99"/>
    <s v="Credit Card"/>
    <s v="West"/>
    <s v="Basic"/>
    <d v="2022-01-16T00:00:00"/>
    <n v="2099.9699999999998"/>
    <x v="0"/>
  </r>
  <r>
    <s v="TRX0230"/>
    <d v="2024-04-27T00:00:00"/>
    <s v="CUST027"/>
    <s v="George Adams"/>
    <s v="P001"/>
    <x v="4"/>
    <s v="Electronics"/>
    <n v="1"/>
    <n v="899.99"/>
    <s v="Debit Card"/>
    <s v="North"/>
    <s v="Standard"/>
    <d v="2022-12-25T00:00:00"/>
    <n v="899.99"/>
    <x v="0"/>
  </r>
  <r>
    <s v="TRX0049"/>
    <d v="2024-04-28T00:00:00"/>
    <s v="CUST025"/>
    <s v="Mark Carter"/>
    <s v="P008"/>
    <x v="2"/>
    <s v="Furniture"/>
    <n v="4"/>
    <n v="149.99"/>
    <s v="Debit Card"/>
    <s v="North"/>
    <s v="Premium"/>
    <d v="2024-03-23T00:00:00"/>
    <n v="599.96"/>
    <x v="0"/>
  </r>
  <r>
    <s v="TRX0134"/>
    <d v="2024-04-28T00:00:00"/>
    <s v="CUST010"/>
    <s v="Maria Garcia"/>
    <s v="P002"/>
    <x v="5"/>
    <s v="Electronics"/>
    <n v="2"/>
    <n v="699.99"/>
    <s v="Cash"/>
    <s v="North"/>
    <s v="Basic"/>
    <d v="2022-08-08T00:00:00"/>
    <n v="1399.98"/>
    <x v="0"/>
  </r>
  <r>
    <s v="TRX0122"/>
    <d v="2024-04-28T00:00:00"/>
    <s v="CUST025"/>
    <s v="Mark Carter"/>
    <s v="P001"/>
    <x v="4"/>
    <s v="Electronics"/>
    <n v="4"/>
    <n v="899.99"/>
    <s v="Credit Card"/>
    <s v="West"/>
    <s v="Standard"/>
    <d v="2024-02-05T00:00:00"/>
    <n v="3599.96"/>
    <x v="0"/>
  </r>
  <r>
    <s v="TRX0222"/>
    <d v="2024-04-28T00:00:00"/>
    <s v="CUST048"/>
    <s v="Virginia Sanders"/>
    <s v="P009"/>
    <x v="0"/>
    <s v="Electronics"/>
    <n v="3"/>
    <n v="249.99"/>
    <s v="Credit Card"/>
    <s v="North"/>
    <s v="Premium"/>
    <d v="2023-10-25T00:00:00"/>
    <n v="749.97"/>
    <x v="0"/>
  </r>
  <r>
    <s v="TRX0231"/>
    <d v="2024-04-30T00:00:00"/>
    <s v="CUST018"/>
    <s v="Barbara Young"/>
    <s v="P002"/>
    <x v="5"/>
    <s v="Electronics"/>
    <n v="5"/>
    <n v="699.99"/>
    <s v="Cash"/>
    <s v="West"/>
    <s v="Basic"/>
    <d v="2023-08-29T00:00:00"/>
    <n v="3499.95"/>
    <x v="0"/>
  </r>
  <r>
    <s v="TRX0239"/>
    <d v="2024-05-01T00:00:00"/>
    <s v="CUST012"/>
    <s v="Patricia Moore"/>
    <s v="P002"/>
    <x v="5"/>
    <s v="Electronics"/>
    <n v="4"/>
    <n v="699.99"/>
    <s v="Cash"/>
    <s v="East"/>
    <s v="Standard"/>
    <d v="2021-08-01T00:00:00"/>
    <n v="2799.96"/>
    <x v="1"/>
  </r>
  <r>
    <s v="TRX0204"/>
    <d v="2024-05-03T00:00:00"/>
    <s v="CUST044"/>
    <s v="Cynthia Price"/>
    <s v="P009"/>
    <x v="0"/>
    <s v="Electronics"/>
    <n v="4"/>
    <n v="249.99"/>
    <s v="PayPal"/>
    <s v="North"/>
    <s v="Standard"/>
    <d v="2021-09-29T00:00:00"/>
    <n v="999.96"/>
    <x v="1"/>
  </r>
  <r>
    <s v="TRX0242"/>
    <d v="2024-05-04T00:00:00"/>
    <s v="CUST025"/>
    <s v="Mark Carter"/>
    <s v="P007"/>
    <x v="6"/>
    <s v="Furniture"/>
    <n v="4"/>
    <n v="299.99"/>
    <s v="Cash"/>
    <s v="West"/>
    <s v="Premium"/>
    <d v="2022-06-04T00:00:00"/>
    <n v="1199.96"/>
    <x v="1"/>
  </r>
  <r>
    <s v="TRX0071"/>
    <d v="2024-05-10T00:00:00"/>
    <s v="CUST036"/>
    <s v="Nancy Collins"/>
    <s v="P009"/>
    <x v="0"/>
    <s v="Electronics"/>
    <n v="5"/>
    <n v="249.99"/>
    <s v="Credit Card"/>
    <s v="West"/>
    <s v="Standard"/>
    <d v="2021-11-25T00:00:00"/>
    <n v="1249.95"/>
    <x v="1"/>
  </r>
  <r>
    <s v="TRX0040"/>
    <d v="2024-05-12T00:00:00"/>
    <s v="CUST022"/>
    <s v="Susan Green"/>
    <s v="P007"/>
    <x v="6"/>
    <s v="Furniture"/>
    <n v="5"/>
    <n v="299.99"/>
    <s v="PayPal"/>
    <s v="East"/>
    <s v="Basic"/>
    <d v="2023-08-30T00:00:00"/>
    <n v="1499.95"/>
    <x v="1"/>
  </r>
  <r>
    <s v="TRX0235"/>
    <d v="2024-05-12T00:00:00"/>
    <s v="CUST014"/>
    <s v="Linda Martin"/>
    <s v="P004"/>
    <x v="7"/>
    <s v="Appliances"/>
    <n v="3"/>
    <n v="79.989999999999995"/>
    <s v="PayPal"/>
    <s v="East"/>
    <s v="Premium"/>
    <d v="2023-03-27T00:00:00"/>
    <n v="239.97"/>
    <x v="1"/>
  </r>
  <r>
    <s v="TRX0004"/>
    <d v="2024-05-12T00:00:00"/>
    <s v="CUST012"/>
    <s v="Patricia Moore"/>
    <s v="P010"/>
    <x v="8"/>
    <s v="Electronics"/>
    <n v="5"/>
    <n v="89.99"/>
    <s v="Cash"/>
    <s v="North"/>
    <s v="Premium"/>
    <d v="2022-12-24T00:00:00"/>
    <n v="449.95"/>
    <x v="1"/>
  </r>
  <r>
    <s v="TRX0063"/>
    <d v="2024-05-13T00:00:00"/>
    <s v="CUST030"/>
    <s v="Helen Roberts"/>
    <s v="P005"/>
    <x v="1"/>
    <s v="Appliances"/>
    <n v="2"/>
    <n v="59.99"/>
    <s v="Debit Card"/>
    <s v="Central"/>
    <s v="Standard"/>
    <d v="2023-10-15T00:00:00"/>
    <n v="119.98"/>
    <x v="1"/>
  </r>
  <r>
    <s v="TRX0241"/>
    <d v="2024-05-15T00:00:00"/>
    <s v="CUST029"/>
    <s v="Edward Mitchell"/>
    <s v="P005"/>
    <x v="1"/>
    <s v="Appliances"/>
    <n v="4"/>
    <n v="59.99"/>
    <s v="Debit Card"/>
    <s v="East"/>
    <s v="Standard"/>
    <d v="2022-11-02T00:00:00"/>
    <n v="239.96"/>
    <x v="1"/>
  </r>
  <r>
    <s v="TRX0029"/>
    <d v="2024-05-15T00:00:00"/>
    <s v="CUST017"/>
    <s v="Charles Allen"/>
    <s v="P006"/>
    <x v="9"/>
    <s v="Furniture"/>
    <n v="5"/>
    <n v="199.99"/>
    <s v="Cash"/>
    <s v="South"/>
    <s v="Standard"/>
    <d v="2021-08-04T00:00:00"/>
    <n v="999.95"/>
    <x v="1"/>
  </r>
  <r>
    <s v="TRX0194"/>
    <d v="2024-05-16T00:00:00"/>
    <s v="CUST006"/>
    <s v="Lisa Anderson"/>
    <s v="P008"/>
    <x v="2"/>
    <s v="Furniture"/>
    <n v="2"/>
    <n v="149.99"/>
    <s v="Credit Card"/>
    <s v="West"/>
    <s v="Basic"/>
    <d v="2022-09-19T00:00:00"/>
    <n v="299.98"/>
    <x v="1"/>
  </r>
  <r>
    <s v="TRX0130"/>
    <d v="2024-05-18T00:00:00"/>
    <s v="CUST002"/>
    <s v="Emma Wilson"/>
    <s v="P008"/>
    <x v="2"/>
    <s v="Furniture"/>
    <n v="3"/>
    <n v="149.99"/>
    <s v="Credit Card"/>
    <s v="West"/>
    <s v="Premium"/>
    <d v="2023-05-22T00:00:00"/>
    <n v="449.97"/>
    <x v="1"/>
  </r>
  <r>
    <s v="TRX0041"/>
    <d v="2024-05-20T00:00:00"/>
    <s v="CUST021"/>
    <s v="Kevin Scott"/>
    <s v="P001"/>
    <x v="4"/>
    <s v="Electronics"/>
    <n v="1"/>
    <n v="899.99"/>
    <s v="Credit Card"/>
    <s v="West"/>
    <s v="Premium"/>
    <d v="2022-01-17T00:00:00"/>
    <n v="899.99"/>
    <x v="1"/>
  </r>
  <r>
    <s v="TRX0232"/>
    <d v="2024-05-22T00:00:00"/>
    <s v="CUST012"/>
    <s v="Patricia Moore"/>
    <s v="P007"/>
    <x v="6"/>
    <s v="Furniture"/>
    <n v="3"/>
    <n v="299.99"/>
    <s v="Credit Card"/>
    <s v="East"/>
    <s v="Basic"/>
    <d v="2022-09-20T00:00:00"/>
    <n v="899.97"/>
    <x v="1"/>
  </r>
  <r>
    <s v="TRX0021"/>
    <d v="2024-05-23T00:00:00"/>
    <s v="CUST006"/>
    <s v="Lisa Anderson"/>
    <s v="P004"/>
    <x v="7"/>
    <s v="Appliances"/>
    <n v="3"/>
    <n v="79.989999999999995"/>
    <s v="Cash"/>
    <s v="South"/>
    <s v="Basic"/>
    <d v="2023-04-30T00:00:00"/>
    <n v="239.97"/>
    <x v="1"/>
  </r>
  <r>
    <s v="TRX0245"/>
    <d v="2024-05-26T00:00:00"/>
    <s v="CUST031"/>
    <s v="Steven Turner"/>
    <s v="P006"/>
    <x v="9"/>
    <s v="Furniture"/>
    <n v="3"/>
    <n v="199.99"/>
    <s v="Credit Card"/>
    <s v="North"/>
    <s v="Premium"/>
    <d v="2024-01-01T00:00:00"/>
    <n v="599.97"/>
    <x v="1"/>
  </r>
  <r>
    <s v="TRX0015"/>
    <d v="2024-05-28T00:00:00"/>
    <s v="CUST008"/>
    <s v="Jennifer Taylor"/>
    <s v="P002"/>
    <x v="5"/>
    <s v="Electronics"/>
    <n v="5"/>
    <n v="699.99"/>
    <s v="PayPal"/>
    <s v="West"/>
    <s v="Standard"/>
    <d v="2021-07-30T00:00:00"/>
    <n v="3499.95"/>
    <x v="1"/>
  </r>
  <r>
    <s v="TRX0202"/>
    <d v="2024-05-29T00:00:00"/>
    <s v="CUST035"/>
    <s v="Harry Morgan"/>
    <s v="P010"/>
    <x v="8"/>
    <s v="Electronics"/>
    <n v="3"/>
    <n v="89.99"/>
    <s v="PayPal"/>
    <s v="Central"/>
    <s v="Premium"/>
    <d v="2023-07-13T00:00:00"/>
    <n v="269.97000000000003"/>
    <x v="1"/>
  </r>
  <r>
    <s v="TRX0042"/>
    <d v="2024-05-31T00:00:00"/>
    <s v="CUST019"/>
    <s v="Daniel King"/>
    <s v="P004"/>
    <x v="7"/>
    <s v="Appliances"/>
    <n v="1"/>
    <n v="79.989999999999995"/>
    <s v="Cash"/>
    <s v="North"/>
    <s v="Standard"/>
    <d v="2022-12-22T00:00:00"/>
    <n v="79.989999999999995"/>
    <x v="1"/>
  </r>
  <r>
    <s v="TRX0128"/>
    <d v="2024-06-01T00:00:00"/>
    <s v="CUST040"/>
    <s v="Sharon Butler"/>
    <s v="P005"/>
    <x v="1"/>
    <s v="Appliances"/>
    <n v="2"/>
    <n v="59.99"/>
    <s v="Cash"/>
    <s v="West"/>
    <s v="Basic"/>
    <d v="2024-04-08T00:00:00"/>
    <n v="119.98"/>
    <x v="2"/>
  </r>
  <r>
    <s v="TRX0117"/>
    <d v="2024-06-01T00:00:00"/>
    <s v="CUST017"/>
    <s v="Charles Allen"/>
    <s v="P010"/>
    <x v="8"/>
    <s v="Electronics"/>
    <n v="1"/>
    <n v="89.99"/>
    <s v="Cash"/>
    <s v="North"/>
    <s v="Basic"/>
    <d v="2023-08-03T00:00:00"/>
    <n v="89.99"/>
    <x v="2"/>
  </r>
  <r>
    <s v="TRX0208"/>
    <d v="2024-06-03T00:00:00"/>
    <s v="CUST004"/>
    <s v="Sarah Davis"/>
    <s v="P010"/>
    <x v="8"/>
    <s v="Electronics"/>
    <n v="5"/>
    <n v="89.99"/>
    <s v="Credit Card"/>
    <s v="East"/>
    <s v="Standard"/>
    <d v="2022-01-26T00:00:00"/>
    <n v="449.95"/>
    <x v="2"/>
  </r>
  <r>
    <s v="TRX0234"/>
    <d v="2024-06-06T00:00:00"/>
    <s v="CUST013"/>
    <s v="Joseph Jackson"/>
    <s v="P009"/>
    <x v="0"/>
    <s v="Electronics"/>
    <n v="5"/>
    <n v="249.99"/>
    <s v="Credit Card"/>
    <s v="East"/>
    <s v="Standard"/>
    <d v="2022-05-26T00:00:00"/>
    <n v="1249.95"/>
    <x v="2"/>
  </r>
  <r>
    <s v="TRX0121"/>
    <d v="2024-06-06T00:00:00"/>
    <s v="CUST028"/>
    <s v="Betty Campbell"/>
    <s v="P010"/>
    <x v="8"/>
    <s v="Electronics"/>
    <n v="1"/>
    <n v="89.99"/>
    <s v="Credit Card"/>
    <s v="South"/>
    <s v="Standard"/>
    <d v="2022-01-21T00:00:00"/>
    <n v="89.99"/>
    <x v="2"/>
  </r>
  <r>
    <s v="TRX0220"/>
    <d v="2024-06-07T00:00:00"/>
    <s v="CUST003"/>
    <s v="Michael Brown"/>
    <s v="P008"/>
    <x v="2"/>
    <s v="Furniture"/>
    <n v="2"/>
    <n v="149.99"/>
    <s v="Cash"/>
    <s v="East"/>
    <s v="Premium"/>
    <d v="2022-03-25T00:00:00"/>
    <n v="299.98"/>
    <x v="2"/>
  </r>
  <r>
    <s v="TRX0093"/>
    <d v="2024-06-09T00:00:00"/>
    <s v="CUST050"/>
    <s v="Julie Foster"/>
    <s v="P005"/>
    <x v="1"/>
    <s v="Appliances"/>
    <n v="4"/>
    <n v="59.99"/>
    <s v="Cash"/>
    <s v="East"/>
    <s v="Standard"/>
    <d v="2021-08-27T00:00:00"/>
    <n v="239.96"/>
    <x v="2"/>
  </r>
  <r>
    <s v="TRX0088"/>
    <d v="2024-06-13T00:00:00"/>
    <s v="CUST006"/>
    <s v="Lisa Anderson"/>
    <s v="P010"/>
    <x v="8"/>
    <s v="Electronics"/>
    <n v="5"/>
    <n v="89.99"/>
    <s v="Cash"/>
    <s v="Central"/>
    <s v="Premium"/>
    <d v="2022-01-18T00:00:00"/>
    <n v="449.95"/>
    <x v="2"/>
  </r>
  <r>
    <s v="TRX0115"/>
    <d v="2024-06-16T00:00:00"/>
    <s v="CUST012"/>
    <s v="Patricia Moore"/>
    <s v="P010"/>
    <x v="8"/>
    <s v="Electronics"/>
    <n v="2"/>
    <n v="89.99"/>
    <s v="Credit Card"/>
    <s v="South"/>
    <s v="Premium"/>
    <d v="2021-10-02T00:00:00"/>
    <n v="179.98"/>
    <x v="2"/>
  </r>
  <r>
    <s v="TRX0154"/>
    <d v="2024-06-16T00:00:00"/>
    <s v="CUST023"/>
    <s v="Paul Baker"/>
    <s v="P001"/>
    <x v="4"/>
    <s v="Electronics"/>
    <n v="5"/>
    <n v="899.99"/>
    <s v="Credit Card"/>
    <s v="South"/>
    <s v="Standard"/>
    <d v="2023-02-17T00:00:00"/>
    <n v="4499.95"/>
    <x v="2"/>
  </r>
  <r>
    <s v="TRX0044"/>
    <d v="2024-06-16T00:00:00"/>
    <s v="CUST029"/>
    <s v="Edward Mitchell"/>
    <s v="P001"/>
    <x v="4"/>
    <s v="Electronics"/>
    <n v="5"/>
    <n v="899.99"/>
    <s v="PayPal"/>
    <s v="East"/>
    <s v="Premium"/>
    <d v="2023-12-18T00:00:00"/>
    <n v="4499.95"/>
    <x v="2"/>
  </r>
  <r>
    <s v="TRX0061"/>
    <d v="2024-06-17T00:00:00"/>
    <s v="CUST028"/>
    <s v="Betty Campbell"/>
    <s v="P005"/>
    <x v="1"/>
    <s v="Appliances"/>
    <n v="1"/>
    <n v="59.99"/>
    <s v="Debit Card"/>
    <s v="West"/>
    <s v="Premium"/>
    <d v="2023-09-21T00:00:00"/>
    <n v="59.99"/>
    <x v="2"/>
  </r>
  <r>
    <s v="TRX0150"/>
    <d v="2024-06-17T00:00:00"/>
    <s v="CUST008"/>
    <s v="Jennifer Taylor"/>
    <s v="P007"/>
    <x v="6"/>
    <s v="Furniture"/>
    <n v="2"/>
    <n v="299.99"/>
    <s v="Debit Card"/>
    <s v="East"/>
    <s v="Standard"/>
    <d v="2023-11-23T00:00:00"/>
    <n v="599.98"/>
    <x v="2"/>
  </r>
  <r>
    <s v="TRX0025"/>
    <d v="2024-06-25T00:00:00"/>
    <s v="CUST049"/>
    <s v="Raymond Ross"/>
    <s v="P010"/>
    <x v="8"/>
    <s v="Electronics"/>
    <n v="4"/>
    <n v="89.99"/>
    <s v="Debit Card"/>
    <s v="South"/>
    <s v="Basic"/>
    <d v="2023-12-21T00:00:00"/>
    <n v="359.96"/>
    <x v="2"/>
  </r>
  <r>
    <s v="TRX0078"/>
    <d v="2024-06-26T00:00:00"/>
    <s v="CUST021"/>
    <s v="Kevin Scott"/>
    <s v="P004"/>
    <x v="7"/>
    <s v="Appliances"/>
    <n v="1"/>
    <n v="79.989999999999995"/>
    <s v="PayPal"/>
    <s v="Central"/>
    <s v="Premium"/>
    <d v="2024-03-01T00:00:00"/>
    <n v="79.989999999999995"/>
    <x v="2"/>
  </r>
  <r>
    <s v="TRX0007"/>
    <d v="2024-06-26T00:00:00"/>
    <s v="CUST009"/>
    <s v="Robert Thomas"/>
    <s v="P010"/>
    <x v="8"/>
    <s v="Electronics"/>
    <n v="2"/>
    <n v="89.99"/>
    <s v="Cash"/>
    <s v="West"/>
    <s v="Basic"/>
    <d v="2021-08-30T00:00:00"/>
    <n v="179.98"/>
    <x v="2"/>
  </r>
  <r>
    <s v="TRX0184"/>
    <d v="2024-06-28T00:00:00"/>
    <s v="CUST046"/>
    <s v="Kathleen Bennett"/>
    <s v="P002"/>
    <x v="5"/>
    <s v="Electronics"/>
    <n v="3"/>
    <n v="699.99"/>
    <s v="Credit Card"/>
    <s v="East"/>
    <s v="Premium"/>
    <d v="2023-06-25T00:00:00"/>
    <n v="2099.9699999999998"/>
    <x v="2"/>
  </r>
  <r>
    <s v="TRX0104"/>
    <d v="2024-06-28T00:00:00"/>
    <s v="CUST012"/>
    <s v="Patricia Moore"/>
    <s v="P001"/>
    <x v="4"/>
    <s v="Electronics"/>
    <n v="4"/>
    <n v="899.99"/>
    <s v="Credit Card"/>
    <s v="East"/>
    <s v="Premium"/>
    <d v="2023-03-08T00:00:00"/>
    <n v="3599.96"/>
    <x v="2"/>
  </r>
  <r>
    <s v="TRX0127"/>
    <d v="2024-06-29T00:00:00"/>
    <s v="CUST030"/>
    <s v="Helen Roberts"/>
    <s v="P008"/>
    <x v="2"/>
    <s v="Furniture"/>
    <n v="1"/>
    <n v="149.99"/>
    <s v="PayPal"/>
    <s v="East"/>
    <s v="Basic"/>
    <d v="2022-10-17T00:00:00"/>
    <n v="149.99"/>
    <x v="2"/>
  </r>
  <r>
    <s v="TRX0096"/>
    <d v="2024-07-01T00:00:00"/>
    <s v="CUST002"/>
    <s v="Emma Wilson"/>
    <s v="P010"/>
    <x v="8"/>
    <s v="Electronics"/>
    <n v="2"/>
    <n v="89.99"/>
    <s v="PayPal"/>
    <s v="Central"/>
    <s v="Premium"/>
    <d v="2023-12-15T00:00:00"/>
    <n v="179.98"/>
    <x v="3"/>
  </r>
  <r>
    <s v="TRX0192"/>
    <d v="2024-07-02T00:00:00"/>
    <s v="CUST017"/>
    <s v="Charles Allen"/>
    <s v="P010"/>
    <x v="8"/>
    <s v="Electronics"/>
    <n v="1"/>
    <n v="89.99"/>
    <s v="PayPal"/>
    <s v="West"/>
    <s v="Standard"/>
    <d v="2022-08-29T00:00:00"/>
    <n v="89.99"/>
    <x v="3"/>
  </r>
  <r>
    <s v="TRX0052"/>
    <d v="2024-07-03T00:00:00"/>
    <s v="CUST022"/>
    <s v="Susan Green"/>
    <s v="P010"/>
    <x v="8"/>
    <s v="Electronics"/>
    <n v="1"/>
    <n v="89.99"/>
    <s v="Cash"/>
    <s v="South"/>
    <s v="Standard"/>
    <d v="2022-02-19T00:00:00"/>
    <n v="89.99"/>
    <x v="3"/>
  </r>
  <r>
    <s v="TRX0070"/>
    <d v="2024-07-03T00:00:00"/>
    <s v="CUST007"/>
    <s v="David Martinez"/>
    <s v="P004"/>
    <x v="7"/>
    <s v="Appliances"/>
    <n v="5"/>
    <n v="79.989999999999995"/>
    <s v="Debit Card"/>
    <s v="Central"/>
    <s v="Basic"/>
    <d v="2023-02-24T00:00:00"/>
    <n v="399.95"/>
    <x v="3"/>
  </r>
  <r>
    <s v="TRX0086"/>
    <d v="2024-07-08T00:00:00"/>
    <s v="CUST020"/>
    <s v="Margaret Wright"/>
    <s v="P008"/>
    <x v="2"/>
    <s v="Furniture"/>
    <n v="1"/>
    <n v="149.99"/>
    <s v="PayPal"/>
    <s v="North"/>
    <s v="Basic"/>
    <d v="2021-08-13T00:00:00"/>
    <n v="149.99"/>
    <x v="3"/>
  </r>
  <r>
    <s v="TRX0113"/>
    <d v="2024-07-08T00:00:00"/>
    <s v="CUST003"/>
    <s v="Michael Brown"/>
    <s v="P002"/>
    <x v="5"/>
    <s v="Electronics"/>
    <n v="2"/>
    <n v="699.99"/>
    <s v="PayPal"/>
    <s v="East"/>
    <s v="Premium"/>
    <d v="2024-04-07T00:00:00"/>
    <n v="1399.98"/>
    <x v="3"/>
  </r>
  <r>
    <s v="TRX0114"/>
    <d v="2024-07-08T00:00:00"/>
    <s v="CUST018"/>
    <s v="Barbara Young"/>
    <s v="P010"/>
    <x v="8"/>
    <s v="Electronics"/>
    <n v="5"/>
    <n v="89.99"/>
    <s v="Debit Card"/>
    <s v="North"/>
    <s v="Premium"/>
    <d v="2023-08-23T00:00:00"/>
    <n v="449.95"/>
    <x v="3"/>
  </r>
  <r>
    <s v="TRX0136"/>
    <d v="2024-07-09T00:00:00"/>
    <s v="CUST049"/>
    <s v="Raymond Ross"/>
    <s v="P005"/>
    <x v="1"/>
    <s v="Appliances"/>
    <n v="4"/>
    <n v="59.99"/>
    <s v="Cash"/>
    <s v="South"/>
    <s v="Standard"/>
    <d v="2021-11-09T00:00:00"/>
    <n v="239.96"/>
    <x v="3"/>
  </r>
  <r>
    <s v="TRX0018"/>
    <d v="2024-07-11T00:00:00"/>
    <s v="CUST013"/>
    <s v="Joseph Jackson"/>
    <s v="P003"/>
    <x v="3"/>
    <s v="Electronics"/>
    <n v="1"/>
    <n v="149.99"/>
    <s v="Cash"/>
    <s v="Central"/>
    <s v="Standard"/>
    <d v="2022-12-14T00:00:00"/>
    <n v="149.99"/>
    <x v="3"/>
  </r>
  <r>
    <s v="TRX0141"/>
    <d v="2024-07-11T00:00:00"/>
    <s v="CUST033"/>
    <s v="Frank Torres"/>
    <s v="P007"/>
    <x v="6"/>
    <s v="Furniture"/>
    <n v="1"/>
    <n v="299.99"/>
    <s v="Credit Card"/>
    <s v="North"/>
    <s v="Premium"/>
    <d v="2022-11-26T00:00:00"/>
    <n v="299.99"/>
    <x v="3"/>
  </r>
  <r>
    <s v="TRX0097"/>
    <d v="2024-07-14T00:00:00"/>
    <s v="CUST033"/>
    <s v="Frank Torres"/>
    <s v="P006"/>
    <x v="9"/>
    <s v="Furniture"/>
    <n v="2"/>
    <n v="199.99"/>
    <s v="Cash"/>
    <s v="North"/>
    <s v="Basic"/>
    <d v="2021-12-11T00:00:00"/>
    <n v="399.98"/>
    <x v="3"/>
  </r>
  <r>
    <s v="TRX0169"/>
    <d v="2024-07-17T00:00:00"/>
    <s v="CUST047"/>
    <s v="Gerald Murphy"/>
    <s v="P005"/>
    <x v="1"/>
    <s v="Appliances"/>
    <n v="3"/>
    <n v="59.99"/>
    <s v="Credit Card"/>
    <s v="West"/>
    <s v="Basic"/>
    <d v="2023-07-23T00:00:00"/>
    <n v="179.97"/>
    <x v="3"/>
  </r>
  <r>
    <s v="TRX0216"/>
    <d v="2024-07-17T00:00:00"/>
    <s v="CUST041"/>
    <s v="Peter Richardson"/>
    <s v="P008"/>
    <x v="2"/>
    <s v="Furniture"/>
    <n v="3"/>
    <n v="149.99"/>
    <s v="Cash"/>
    <s v="Central"/>
    <s v="Premium"/>
    <d v="2023-09-30T00:00:00"/>
    <n v="449.97"/>
    <x v="3"/>
  </r>
  <r>
    <s v="TRX0131"/>
    <d v="2024-07-18T00:00:00"/>
    <s v="CUST026"/>
    <s v="Karen Hill"/>
    <s v="P006"/>
    <x v="9"/>
    <s v="Furniture"/>
    <n v="3"/>
    <n v="199.99"/>
    <s v="Cash"/>
    <s v="North"/>
    <s v="Premium"/>
    <d v="2023-11-24T00:00:00"/>
    <n v="599.97"/>
    <x v="3"/>
  </r>
  <r>
    <s v="TRX0162"/>
    <d v="2024-07-23T00:00:00"/>
    <s v="CUST040"/>
    <s v="Sharon Butler"/>
    <s v="P001"/>
    <x v="4"/>
    <s v="Electronics"/>
    <n v="1"/>
    <n v="899.99"/>
    <s v="Cash"/>
    <s v="Central"/>
    <s v="Standard"/>
    <d v="2023-09-10T00:00:00"/>
    <n v="899.99"/>
    <x v="3"/>
  </r>
  <r>
    <s v="TRX0244"/>
    <d v="2024-07-24T00:00:00"/>
    <s v="CUST013"/>
    <s v="Joseph Jackson"/>
    <s v="P001"/>
    <x v="4"/>
    <s v="Electronics"/>
    <n v="5"/>
    <n v="899.99"/>
    <s v="Debit Card"/>
    <s v="South"/>
    <s v="Standard"/>
    <d v="2022-12-04T00:00:00"/>
    <n v="4499.95"/>
    <x v="3"/>
  </r>
  <r>
    <s v="TRX0006"/>
    <d v="2024-07-25T00:00:00"/>
    <s v="CUST007"/>
    <s v="David Martinez"/>
    <s v="P005"/>
    <x v="1"/>
    <s v="Appliances"/>
    <n v="2"/>
    <n v="59.99"/>
    <s v="Cash"/>
    <s v="North"/>
    <s v="Standard"/>
    <d v="2023-08-14T00:00:00"/>
    <n v="119.98"/>
    <x v="3"/>
  </r>
  <r>
    <s v="TRX0215"/>
    <d v="2024-07-25T00:00:00"/>
    <s v="CUST047"/>
    <s v="Gerald Murphy"/>
    <s v="P009"/>
    <x v="0"/>
    <s v="Electronics"/>
    <n v="4"/>
    <n v="249.99"/>
    <s v="Debit Card"/>
    <s v="Central"/>
    <s v="Standard"/>
    <d v="2023-07-20T00:00:00"/>
    <n v="999.96"/>
    <x v="3"/>
  </r>
  <r>
    <s v="TRX0080"/>
    <d v="2024-07-27T00:00:00"/>
    <s v="CUST018"/>
    <s v="Barbara Young"/>
    <s v="P009"/>
    <x v="0"/>
    <s v="Electronics"/>
    <n v="2"/>
    <n v="249.99"/>
    <s v="Cash"/>
    <s v="North"/>
    <s v="Premium"/>
    <d v="2023-08-26T00:00:00"/>
    <n v="499.98"/>
    <x v="3"/>
  </r>
  <r>
    <s v="TRX0228"/>
    <d v="2024-07-27T00:00:00"/>
    <s v="CUST019"/>
    <s v="Daniel King"/>
    <s v="P007"/>
    <x v="6"/>
    <s v="Furniture"/>
    <n v="1"/>
    <n v="299.99"/>
    <s v="Cash"/>
    <s v="South"/>
    <s v="Basic"/>
    <d v="2023-02-25T00:00:00"/>
    <n v="299.99"/>
    <x v="3"/>
  </r>
  <r>
    <s v="TRX0157"/>
    <d v="2024-07-28T00:00:00"/>
    <s v="CUST025"/>
    <s v="Mark Carter"/>
    <s v="P010"/>
    <x v="8"/>
    <s v="Electronics"/>
    <n v="2"/>
    <n v="89.99"/>
    <s v="PayPal"/>
    <s v="South"/>
    <s v="Basic"/>
    <d v="2023-02-19T00:00:00"/>
    <n v="179.98"/>
    <x v="3"/>
  </r>
  <r>
    <s v="TRX0002"/>
    <d v="2024-07-28T00:00:00"/>
    <s v="CUST019"/>
    <s v="Daniel King"/>
    <s v="P007"/>
    <x v="6"/>
    <s v="Furniture"/>
    <n v="3"/>
    <n v="299.99"/>
    <s v="Cash"/>
    <s v="Central"/>
    <s v="Basic"/>
    <d v="2022-06-20T00:00:00"/>
    <n v="899.97"/>
    <x v="3"/>
  </r>
  <r>
    <s v="TRX0217"/>
    <d v="2024-07-30T00:00:00"/>
    <s v="CUST025"/>
    <s v="Mark Carter"/>
    <s v="P002"/>
    <x v="5"/>
    <s v="Electronics"/>
    <n v="2"/>
    <n v="699.99"/>
    <s v="Credit Card"/>
    <s v="North"/>
    <s v="Premium"/>
    <d v="2023-03-14T00:00:00"/>
    <n v="1399.98"/>
    <x v="3"/>
  </r>
  <r>
    <s v="TRX0249"/>
    <d v="2024-07-31T00:00:00"/>
    <s v="CUST030"/>
    <s v="Helen Roberts"/>
    <s v="P001"/>
    <x v="4"/>
    <s v="Electronics"/>
    <n v="4"/>
    <n v="899.99"/>
    <s v="Debit Card"/>
    <s v="South"/>
    <s v="Standard"/>
    <d v="2021-11-23T00:00:00"/>
    <n v="3599.96"/>
    <x v="3"/>
  </r>
  <r>
    <s v="TRX0065"/>
    <d v="2024-08-05T00:00:00"/>
    <s v="CUST016"/>
    <s v="Elizabeth Hall"/>
    <s v="P008"/>
    <x v="2"/>
    <s v="Furniture"/>
    <n v="2"/>
    <n v="149.99"/>
    <s v="Credit Card"/>
    <s v="West"/>
    <s v="Basic"/>
    <d v="2021-12-12T00:00:00"/>
    <n v="299.98"/>
    <x v="4"/>
  </r>
  <r>
    <s v="TRX0176"/>
    <d v="2024-08-06T00:00:00"/>
    <s v="CUST044"/>
    <s v="Cynthia Price"/>
    <s v="P008"/>
    <x v="2"/>
    <s v="Furniture"/>
    <n v="2"/>
    <n v="149.99"/>
    <s v="Debit Card"/>
    <s v="East"/>
    <s v="Standard"/>
    <d v="2022-04-16T00:00:00"/>
    <n v="299.98"/>
    <x v="4"/>
  </r>
  <r>
    <s v="TRX0101"/>
    <d v="2024-08-09T00:00:00"/>
    <s v="CUST010"/>
    <s v="Maria Garcia"/>
    <s v="P010"/>
    <x v="8"/>
    <s v="Electronics"/>
    <n v="1"/>
    <n v="89.99"/>
    <s v="Credit Card"/>
    <s v="North"/>
    <s v="Standard"/>
    <d v="2024-04-11T00:00:00"/>
    <n v="89.99"/>
    <x v="4"/>
  </r>
  <r>
    <s v="TRX0205"/>
    <d v="2024-08-11T00:00:00"/>
    <s v="CUST025"/>
    <s v="Mark Carter"/>
    <s v="P007"/>
    <x v="6"/>
    <s v="Furniture"/>
    <n v="5"/>
    <n v="299.99"/>
    <s v="Credit Card"/>
    <s v="North"/>
    <s v="Basic"/>
    <d v="2023-02-08T00:00:00"/>
    <n v="1499.95"/>
    <x v="4"/>
  </r>
  <r>
    <s v="TRX0020"/>
    <d v="2024-08-13T00:00:00"/>
    <s v="CUST007"/>
    <s v="David Martinez"/>
    <s v="P003"/>
    <x v="3"/>
    <s v="Electronics"/>
    <n v="4"/>
    <n v="149.99"/>
    <s v="Debit Card"/>
    <s v="South"/>
    <s v="Premium"/>
    <d v="2022-09-16T00:00:00"/>
    <n v="599.96"/>
    <x v="4"/>
  </r>
  <r>
    <s v="TRX0075"/>
    <d v="2024-08-13T00:00:00"/>
    <s v="CUST020"/>
    <s v="Margaret Wright"/>
    <s v="P009"/>
    <x v="0"/>
    <s v="Electronics"/>
    <n v="5"/>
    <n v="249.99"/>
    <s v="PayPal"/>
    <s v="East"/>
    <s v="Premium"/>
    <d v="2022-08-09T00:00:00"/>
    <n v="1249.95"/>
    <x v="4"/>
  </r>
  <r>
    <s v="TRX0098"/>
    <d v="2024-08-13T00:00:00"/>
    <s v="CUST026"/>
    <s v="Karen Hill"/>
    <s v="P009"/>
    <x v="0"/>
    <s v="Electronics"/>
    <n v="3"/>
    <n v="249.99"/>
    <s v="PayPal"/>
    <s v="North"/>
    <s v="Premium"/>
    <d v="2021-09-26T00:00:00"/>
    <n v="749.97"/>
    <x v="4"/>
  </r>
  <r>
    <s v="TRX0247"/>
    <d v="2024-08-13T00:00:00"/>
    <s v="CUST046"/>
    <s v="Kathleen Bennett"/>
    <s v="P006"/>
    <x v="9"/>
    <s v="Furniture"/>
    <n v="4"/>
    <n v="199.99"/>
    <s v="Cash"/>
    <s v="North"/>
    <s v="Standard"/>
    <d v="2021-09-19T00:00:00"/>
    <n v="799.96"/>
    <x v="4"/>
  </r>
  <r>
    <s v="TRX0027"/>
    <d v="2024-08-15T00:00:00"/>
    <s v="CUST028"/>
    <s v="Betty Campbell"/>
    <s v="P006"/>
    <x v="9"/>
    <s v="Furniture"/>
    <n v="5"/>
    <n v="199.99"/>
    <s v="Cash"/>
    <s v="North"/>
    <s v="Premium"/>
    <d v="2023-03-06T00:00:00"/>
    <n v="999.95"/>
    <x v="4"/>
  </r>
  <r>
    <s v="TRX0140"/>
    <d v="2024-08-18T00:00:00"/>
    <s v="CUST025"/>
    <s v="Mark Carter"/>
    <s v="P010"/>
    <x v="8"/>
    <s v="Electronics"/>
    <n v="2"/>
    <n v="89.99"/>
    <s v="Cash"/>
    <s v="East"/>
    <s v="Premium"/>
    <d v="2023-02-15T00:00:00"/>
    <n v="179.98"/>
    <x v="4"/>
  </r>
  <r>
    <s v="TRX0132"/>
    <d v="2024-08-19T00:00:00"/>
    <s v="CUST047"/>
    <s v="Gerald Murphy"/>
    <s v="P001"/>
    <x v="4"/>
    <s v="Electronics"/>
    <n v="5"/>
    <n v="899.99"/>
    <s v="Debit Card"/>
    <s v="East"/>
    <s v="Basic"/>
    <d v="2021-11-26T00:00:00"/>
    <n v="4499.95"/>
    <x v="4"/>
  </r>
  <r>
    <s v="TRX0031"/>
    <d v="2024-08-19T00:00:00"/>
    <s v="CUST036"/>
    <s v="Nancy Collins"/>
    <s v="P003"/>
    <x v="3"/>
    <s v="Electronics"/>
    <n v="3"/>
    <n v="149.99"/>
    <s v="PayPal"/>
    <s v="East"/>
    <s v="Basic"/>
    <d v="2022-01-13T00:00:00"/>
    <n v="449.97"/>
    <x v="4"/>
  </r>
  <r>
    <s v="TRX0236"/>
    <d v="2024-08-22T00:00:00"/>
    <s v="CUST044"/>
    <s v="Cynthia Price"/>
    <s v="P008"/>
    <x v="2"/>
    <s v="Furniture"/>
    <n v="5"/>
    <n v="149.99"/>
    <s v="Credit Card"/>
    <s v="Central"/>
    <s v="Basic"/>
    <d v="2024-01-19T00:00:00"/>
    <n v="749.95"/>
    <x v="4"/>
  </r>
  <r>
    <s v="TRX0001"/>
    <d v="2024-08-24T00:00:00"/>
    <s v="CUST039"/>
    <s v="Lawrence Reed"/>
    <s v="P004"/>
    <x v="7"/>
    <s v="Appliances"/>
    <n v="3"/>
    <n v="79.989999999999995"/>
    <s v="Cash"/>
    <s v="Central"/>
    <s v="Premium"/>
    <d v="2022-08-06T00:00:00"/>
    <n v="239.97"/>
    <x v="4"/>
  </r>
  <r>
    <s v="TRX0037"/>
    <d v="2024-08-24T00:00:00"/>
    <s v="CUST035"/>
    <s v="Harry Morgan"/>
    <s v="P009"/>
    <x v="0"/>
    <s v="Electronics"/>
    <n v="2"/>
    <n v="249.99"/>
    <s v="Cash"/>
    <s v="South"/>
    <s v="Standard"/>
    <d v="2022-01-11T00:00:00"/>
    <n v="499.98"/>
    <x v="4"/>
  </r>
  <r>
    <s v="TRX0058"/>
    <d v="2024-08-28T00:00:00"/>
    <s v="CUST047"/>
    <s v="Gerald Murphy"/>
    <s v="P002"/>
    <x v="5"/>
    <s v="Electronics"/>
    <n v="1"/>
    <n v="699.99"/>
    <s v="Cash"/>
    <s v="Central"/>
    <s v="Premium"/>
    <d v="2021-10-28T00:00:00"/>
    <n v="699.99"/>
    <x v="4"/>
  </r>
  <r>
    <s v="TRX0170"/>
    <d v="2024-08-28T00:00:00"/>
    <s v="CUST034"/>
    <s v="Carol Evans"/>
    <s v="P003"/>
    <x v="3"/>
    <s v="Electronics"/>
    <n v="3"/>
    <n v="149.99"/>
    <s v="Cash"/>
    <s v="West"/>
    <s v="Premium"/>
    <d v="2023-10-13T00:00:00"/>
    <n v="449.97"/>
    <x v="4"/>
  </r>
  <r>
    <s v="TRX0248"/>
    <d v="2024-08-30T00:00:00"/>
    <s v="CUST032"/>
    <s v="Sandra Phillips"/>
    <s v="P002"/>
    <x v="5"/>
    <s v="Electronics"/>
    <n v="2"/>
    <n v="699.99"/>
    <s v="Credit Card"/>
    <s v="North"/>
    <s v="Premium"/>
    <d v="2021-08-13T00:00:00"/>
    <n v="1399.98"/>
    <x v="4"/>
  </r>
  <r>
    <s v="TRX0099"/>
    <d v="2024-09-02T00:00:00"/>
    <s v="CUST034"/>
    <s v="Carol Evans"/>
    <s v="P009"/>
    <x v="0"/>
    <s v="Electronics"/>
    <n v="1"/>
    <n v="249.99"/>
    <s v="Credit Card"/>
    <s v="West"/>
    <s v="Premium"/>
    <d v="2022-05-04T00:00:00"/>
    <n v="249.99"/>
    <x v="5"/>
  </r>
  <r>
    <s v="TRX0074"/>
    <d v="2024-09-02T00:00:00"/>
    <s v="CUST023"/>
    <s v="Paul Baker"/>
    <s v="P009"/>
    <x v="0"/>
    <s v="Electronics"/>
    <n v="1"/>
    <n v="249.99"/>
    <s v="Debit Card"/>
    <s v="North"/>
    <s v="Premium"/>
    <d v="2024-02-10T00:00:00"/>
    <n v="249.99"/>
    <x v="5"/>
  </r>
  <r>
    <s v="TRX0225"/>
    <d v="2024-09-03T00:00:00"/>
    <s v="CUST039"/>
    <s v="Lawrence Reed"/>
    <s v="P002"/>
    <x v="5"/>
    <s v="Electronics"/>
    <n v="2"/>
    <n v="699.99"/>
    <s v="Debit Card"/>
    <s v="Central"/>
    <s v="Premium"/>
    <d v="2022-11-05T00:00:00"/>
    <n v="1399.98"/>
    <x v="5"/>
  </r>
  <r>
    <s v="TRX0100"/>
    <d v="2024-09-06T00:00:00"/>
    <s v="CUST031"/>
    <s v="Steven Turner"/>
    <s v="P005"/>
    <x v="1"/>
    <s v="Appliances"/>
    <n v="3"/>
    <n v="59.99"/>
    <s v="Credit Card"/>
    <s v="Central"/>
    <s v="Premium"/>
    <d v="2022-06-05T00:00:00"/>
    <n v="179.97"/>
    <x v="5"/>
  </r>
  <r>
    <s v="TRX0142"/>
    <d v="2024-09-09T00:00:00"/>
    <s v="CUST002"/>
    <s v="Emma Wilson"/>
    <s v="P005"/>
    <x v="1"/>
    <s v="Appliances"/>
    <n v="3"/>
    <n v="59.99"/>
    <s v="PayPal"/>
    <s v="East"/>
    <s v="Standard"/>
    <d v="2022-07-06T00:00:00"/>
    <n v="179.97"/>
    <x v="5"/>
  </r>
  <r>
    <s v="TRX0112"/>
    <d v="2024-09-09T00:00:00"/>
    <s v="CUST008"/>
    <s v="Jennifer Taylor"/>
    <s v="P004"/>
    <x v="7"/>
    <s v="Appliances"/>
    <n v="4"/>
    <n v="79.989999999999995"/>
    <s v="Cash"/>
    <s v="North"/>
    <s v="Basic"/>
    <d v="2021-11-30T00:00:00"/>
    <n v="319.95999999999998"/>
    <x v="5"/>
  </r>
  <r>
    <s v="TRX0161"/>
    <d v="2024-09-10T00:00:00"/>
    <s v="CUST017"/>
    <s v="Charles Allen"/>
    <s v="P004"/>
    <x v="7"/>
    <s v="Appliances"/>
    <n v="1"/>
    <n v="79.989999999999995"/>
    <s v="Cash"/>
    <s v="West"/>
    <s v="Basic"/>
    <d v="2022-05-12T00:00:00"/>
    <n v="79.989999999999995"/>
    <x v="5"/>
  </r>
  <r>
    <s v="TRX0108"/>
    <d v="2024-09-12T00:00:00"/>
    <s v="CUST024"/>
    <s v="Dorothy Nelson"/>
    <s v="P007"/>
    <x v="6"/>
    <s v="Furniture"/>
    <n v="3"/>
    <n v="299.99"/>
    <s v="Credit Card"/>
    <s v="Central"/>
    <s v="Premium"/>
    <d v="2021-10-25T00:00:00"/>
    <n v="899.97"/>
    <x v="5"/>
  </r>
  <r>
    <s v="TRX0211"/>
    <d v="2024-09-13T00:00:00"/>
    <s v="CUST046"/>
    <s v="Kathleen Bennett"/>
    <s v="P010"/>
    <x v="8"/>
    <s v="Electronics"/>
    <n v="2"/>
    <n v="89.99"/>
    <s v="Credit Card"/>
    <s v="South"/>
    <s v="Premium"/>
    <d v="2022-03-21T00:00:00"/>
    <n v="179.98"/>
    <x v="5"/>
  </r>
  <r>
    <s v="TRX0005"/>
    <d v="2024-09-15T00:00:00"/>
    <s v="CUST042"/>
    <s v="Ruth Brooks"/>
    <s v="P003"/>
    <x v="3"/>
    <s v="Electronics"/>
    <n v="4"/>
    <n v="149.99"/>
    <s v="Cash"/>
    <s v="North"/>
    <s v="Basic"/>
    <d v="2022-12-14T00:00:00"/>
    <n v="599.96"/>
    <x v="5"/>
  </r>
  <r>
    <s v="TRX0195"/>
    <d v="2024-09-16T00:00:00"/>
    <s v="CUST026"/>
    <s v="Karen Hill"/>
    <s v="P009"/>
    <x v="0"/>
    <s v="Electronics"/>
    <n v="2"/>
    <n v="249.99"/>
    <s v="PayPal"/>
    <s v="South"/>
    <s v="Basic"/>
    <d v="2023-03-08T00:00:00"/>
    <n v="499.98"/>
    <x v="5"/>
  </r>
  <r>
    <s v="TRX0054"/>
    <d v="2024-09-16T00:00:00"/>
    <s v="CUST004"/>
    <s v="Sarah Davis"/>
    <s v="P006"/>
    <x v="9"/>
    <s v="Furniture"/>
    <n v="4"/>
    <n v="199.99"/>
    <s v="Debit Card"/>
    <s v="East"/>
    <s v="Basic"/>
    <d v="2021-09-19T00:00:00"/>
    <n v="799.96"/>
    <x v="5"/>
  </r>
  <r>
    <s v="TRX0077"/>
    <d v="2024-09-19T00:00:00"/>
    <s v="CUST019"/>
    <s v="Daniel King"/>
    <s v="P010"/>
    <x v="8"/>
    <s v="Electronics"/>
    <n v="5"/>
    <n v="89.99"/>
    <s v="Credit Card"/>
    <s v="East"/>
    <s v="Premium"/>
    <d v="2021-09-07T00:00:00"/>
    <n v="449.95"/>
    <x v="5"/>
  </r>
  <r>
    <s v="TRX0111"/>
    <d v="2024-09-19T00:00:00"/>
    <s v="CUST011"/>
    <s v="William White"/>
    <s v="P003"/>
    <x v="3"/>
    <s v="Electronics"/>
    <n v="1"/>
    <n v="149.99"/>
    <s v="PayPal"/>
    <s v="East"/>
    <s v="Standard"/>
    <d v="2021-10-13T00:00:00"/>
    <n v="149.99"/>
    <x v="5"/>
  </r>
  <r>
    <s v="TRX0123"/>
    <d v="2024-09-19T00:00:00"/>
    <s v="CUST041"/>
    <s v="Peter Richardson"/>
    <s v="P002"/>
    <x v="5"/>
    <s v="Electronics"/>
    <n v="4"/>
    <n v="699.99"/>
    <s v="PayPal"/>
    <s v="South"/>
    <s v="Basic"/>
    <d v="2022-02-26T00:00:00"/>
    <n v="2799.96"/>
    <x v="5"/>
  </r>
  <r>
    <s v="TRX0177"/>
    <d v="2024-09-24T00:00:00"/>
    <s v="CUST032"/>
    <s v="Sandra Phillips"/>
    <s v="P001"/>
    <x v="4"/>
    <s v="Electronics"/>
    <n v="3"/>
    <n v="899.99"/>
    <s v="Credit Card"/>
    <s v="North"/>
    <s v="Standard"/>
    <d v="2023-08-19T00:00:00"/>
    <n v="2699.97"/>
    <x v="5"/>
  </r>
  <r>
    <s v="TRX0119"/>
    <d v="2024-09-25T00:00:00"/>
    <s v="CUST014"/>
    <s v="Linda Martin"/>
    <s v="P008"/>
    <x v="2"/>
    <s v="Furniture"/>
    <n v="3"/>
    <n v="149.99"/>
    <s v="PayPal"/>
    <s v="East"/>
    <s v="Basic"/>
    <d v="2022-11-21T00:00:00"/>
    <n v="449.97"/>
    <x v="5"/>
  </r>
  <r>
    <s v="TRX0181"/>
    <d v="2024-09-28T00:00:00"/>
    <s v="CUST012"/>
    <s v="Patricia Moore"/>
    <s v="P007"/>
    <x v="6"/>
    <s v="Furniture"/>
    <n v="2"/>
    <n v="299.99"/>
    <s v="Debit Card"/>
    <s v="Central"/>
    <s v="Basic"/>
    <d v="2022-01-08T00:00:00"/>
    <n v="599.98"/>
    <x v="5"/>
  </r>
  <r>
    <s v="TRX0129"/>
    <d v="2024-09-29T00:00:00"/>
    <s v="CUST015"/>
    <s v="Richard Lee"/>
    <s v="P006"/>
    <x v="9"/>
    <s v="Furniture"/>
    <n v="1"/>
    <n v="199.99"/>
    <s v="Debit Card"/>
    <s v="East"/>
    <s v="Standard"/>
    <d v="2023-01-27T00:00:00"/>
    <n v="199.99"/>
    <x v="5"/>
  </r>
  <r>
    <s v="TRX0174"/>
    <d v="2024-10-01T00:00:00"/>
    <s v="CUST003"/>
    <s v="Michael Brown"/>
    <s v="P007"/>
    <x v="6"/>
    <s v="Furniture"/>
    <n v="4"/>
    <n v="299.99"/>
    <s v="Cash"/>
    <s v="Central"/>
    <s v="Premium"/>
    <d v="2021-09-21T00:00:00"/>
    <n v="1199.96"/>
    <x v="6"/>
  </r>
  <r>
    <s v="TRX0146"/>
    <d v="2024-10-07T00:00:00"/>
    <s v="CUST010"/>
    <s v="Maria Garcia"/>
    <s v="P005"/>
    <x v="1"/>
    <s v="Appliances"/>
    <n v="2"/>
    <n v="59.99"/>
    <s v="Credit Card"/>
    <s v="Central"/>
    <s v="Basic"/>
    <d v="2022-01-18T00:00:00"/>
    <n v="119.98"/>
    <x v="6"/>
  </r>
  <r>
    <s v="TRX0203"/>
    <d v="2024-10-07T00:00:00"/>
    <s v="CUST032"/>
    <s v="Sandra Phillips"/>
    <s v="P003"/>
    <x v="3"/>
    <s v="Electronics"/>
    <n v="4"/>
    <n v="149.99"/>
    <s v="Credit Card"/>
    <s v="North"/>
    <s v="Premium"/>
    <d v="2023-05-30T00:00:00"/>
    <n v="599.96"/>
    <x v="6"/>
  </r>
  <r>
    <s v="TRX0055"/>
    <d v="2024-10-08T00:00:00"/>
    <s v="CUST016"/>
    <s v="Elizabeth Hall"/>
    <s v="P002"/>
    <x v="5"/>
    <s v="Electronics"/>
    <n v="2"/>
    <n v="699.99"/>
    <s v="Debit Card"/>
    <s v="East"/>
    <s v="Premium"/>
    <d v="2023-12-14T00:00:00"/>
    <n v="1399.98"/>
    <x v="6"/>
  </r>
  <r>
    <s v="TRX0218"/>
    <d v="2024-10-08T00:00:00"/>
    <s v="CUST034"/>
    <s v="Carol Evans"/>
    <s v="P008"/>
    <x v="2"/>
    <s v="Furniture"/>
    <n v="3"/>
    <n v="149.99"/>
    <s v="Credit Card"/>
    <s v="South"/>
    <s v="Standard"/>
    <d v="2023-01-14T00:00:00"/>
    <n v="449.97"/>
    <x v="6"/>
  </r>
  <r>
    <s v="TRX0085"/>
    <d v="2024-10-11T00:00:00"/>
    <s v="CUST019"/>
    <s v="Daniel King"/>
    <s v="P007"/>
    <x v="6"/>
    <s v="Furniture"/>
    <n v="3"/>
    <n v="299.99"/>
    <s v="Credit Card"/>
    <s v="Central"/>
    <s v="Standard"/>
    <d v="2023-09-05T00:00:00"/>
    <n v="899.97"/>
    <x v="6"/>
  </r>
  <r>
    <s v="TRX0158"/>
    <d v="2024-10-14T00:00:00"/>
    <s v="CUST027"/>
    <s v="George Adams"/>
    <s v="P001"/>
    <x v="4"/>
    <s v="Electronics"/>
    <n v="3"/>
    <n v="899.99"/>
    <s v="PayPal"/>
    <s v="West"/>
    <s v="Basic"/>
    <d v="2023-10-16T00:00:00"/>
    <n v="2699.97"/>
    <x v="6"/>
  </r>
  <r>
    <s v="TRX0173"/>
    <d v="2024-10-16T00:00:00"/>
    <s v="CUST018"/>
    <s v="Barbara Young"/>
    <s v="P002"/>
    <x v="5"/>
    <s v="Electronics"/>
    <n v="5"/>
    <n v="699.99"/>
    <s v="Cash"/>
    <s v="East"/>
    <s v="Standard"/>
    <d v="2023-03-23T00:00:00"/>
    <n v="3499.95"/>
    <x v="6"/>
  </r>
  <r>
    <s v="TRX0034"/>
    <d v="2024-10-16T00:00:00"/>
    <s v="CUST049"/>
    <s v="Raymond Ross"/>
    <s v="P002"/>
    <x v="5"/>
    <s v="Electronics"/>
    <n v="4"/>
    <n v="699.99"/>
    <s v="Credit Card"/>
    <s v="Central"/>
    <s v="Basic"/>
    <d v="2024-04-03T00:00:00"/>
    <n v="2799.96"/>
    <x v="6"/>
  </r>
  <r>
    <s v="TRX0189"/>
    <d v="2024-10-16T00:00:00"/>
    <s v="CUST040"/>
    <s v="Sharon Butler"/>
    <s v="P001"/>
    <x v="4"/>
    <s v="Electronics"/>
    <n v="1"/>
    <n v="899.99"/>
    <s v="Credit Card"/>
    <s v="East"/>
    <s v="Standard"/>
    <d v="2024-03-18T00:00:00"/>
    <n v="899.99"/>
    <x v="6"/>
  </r>
  <r>
    <s v="TRX0190"/>
    <d v="2024-10-18T00:00:00"/>
    <s v="CUST039"/>
    <s v="Lawrence Reed"/>
    <s v="P003"/>
    <x v="3"/>
    <s v="Electronics"/>
    <n v="2"/>
    <n v="149.99"/>
    <s v="Credit Card"/>
    <s v="West"/>
    <s v="Basic"/>
    <d v="2022-12-21T00:00:00"/>
    <n v="299.98"/>
    <x v="6"/>
  </r>
  <r>
    <s v="TRX0079"/>
    <d v="2024-10-21T00:00:00"/>
    <s v="CUST039"/>
    <s v="Lawrence Reed"/>
    <s v="P010"/>
    <x v="8"/>
    <s v="Electronics"/>
    <n v="3"/>
    <n v="89.99"/>
    <s v="PayPal"/>
    <s v="Central"/>
    <s v="Basic"/>
    <d v="2021-12-21T00:00:00"/>
    <n v="269.97000000000003"/>
    <x v="6"/>
  </r>
  <r>
    <s v="TRX0095"/>
    <d v="2024-10-23T00:00:00"/>
    <s v="CUST046"/>
    <s v="Kathleen Bennett"/>
    <s v="P003"/>
    <x v="3"/>
    <s v="Electronics"/>
    <n v="2"/>
    <n v="149.99"/>
    <s v="PayPal"/>
    <s v="Central"/>
    <s v="Basic"/>
    <d v="2021-10-04T00:00:00"/>
    <n v="299.98"/>
    <x v="6"/>
  </r>
  <r>
    <s v="TRX0009"/>
    <d v="2024-10-23T00:00:00"/>
    <s v="CUST004"/>
    <s v="Sarah Davis"/>
    <s v="P002"/>
    <x v="5"/>
    <s v="Electronics"/>
    <n v="2"/>
    <n v="699.99"/>
    <s v="Cash"/>
    <s v="Central"/>
    <s v="Basic"/>
    <d v="2023-03-07T00:00:00"/>
    <n v="1399.98"/>
    <x v="6"/>
  </r>
  <r>
    <s v="TRX0167"/>
    <d v="2024-10-24T00:00:00"/>
    <s v="CUST028"/>
    <s v="Betty Campbell"/>
    <s v="P002"/>
    <x v="5"/>
    <s v="Electronics"/>
    <n v="5"/>
    <n v="699.99"/>
    <s v="Cash"/>
    <s v="North"/>
    <s v="Premium"/>
    <d v="2022-03-15T00:00:00"/>
    <n v="3499.95"/>
    <x v="6"/>
  </r>
  <r>
    <s v="TRX0153"/>
    <d v="2024-10-27T00:00:00"/>
    <s v="CUST049"/>
    <s v="Raymond Ross"/>
    <s v="P010"/>
    <x v="8"/>
    <s v="Electronics"/>
    <n v="3"/>
    <n v="89.99"/>
    <s v="Credit Card"/>
    <s v="North"/>
    <s v="Standard"/>
    <d v="2022-02-23T00:00:00"/>
    <n v="269.97000000000003"/>
    <x v="6"/>
  </r>
  <r>
    <s v="TRX0057"/>
    <d v="2024-11-01T00:00:00"/>
    <s v="CUST023"/>
    <s v="Paul Baker"/>
    <s v="P009"/>
    <x v="0"/>
    <s v="Electronics"/>
    <n v="5"/>
    <n v="249.99"/>
    <s v="Credit Card"/>
    <s v="South"/>
    <s v="Standard"/>
    <d v="2022-11-16T00:00:00"/>
    <n v="1249.95"/>
    <x v="7"/>
  </r>
  <r>
    <s v="TRX0017"/>
    <d v="2024-11-04T00:00:00"/>
    <s v="CUST026"/>
    <s v="Karen Hill"/>
    <s v="P007"/>
    <x v="6"/>
    <s v="Furniture"/>
    <n v="3"/>
    <n v="299.99"/>
    <s v="Credit Card"/>
    <s v="South"/>
    <s v="Standard"/>
    <d v="2021-11-02T00:00:00"/>
    <n v="899.97"/>
    <x v="7"/>
  </r>
  <r>
    <s v="TRX0060"/>
    <d v="2024-11-07T00:00:00"/>
    <s v="CUST012"/>
    <s v="Patricia Moore"/>
    <s v="P010"/>
    <x v="8"/>
    <s v="Electronics"/>
    <n v="3"/>
    <n v="89.99"/>
    <s v="Credit Card"/>
    <s v="North"/>
    <s v="Premium"/>
    <d v="2021-08-12T00:00:00"/>
    <n v="269.97000000000003"/>
    <x v="7"/>
  </r>
  <r>
    <s v="TRX0109"/>
    <d v="2024-11-08T00:00:00"/>
    <s v="CUST010"/>
    <s v="Maria Garcia"/>
    <s v="P008"/>
    <x v="2"/>
    <s v="Furniture"/>
    <n v="2"/>
    <n v="149.99"/>
    <s v="Credit Card"/>
    <s v="West"/>
    <s v="Premium"/>
    <d v="2022-10-14T00:00:00"/>
    <n v="299.98"/>
    <x v="7"/>
  </r>
  <r>
    <s v="TRX0090"/>
    <d v="2024-11-09T00:00:00"/>
    <s v="CUST020"/>
    <s v="Margaret Wright"/>
    <s v="P009"/>
    <x v="0"/>
    <s v="Electronics"/>
    <n v="1"/>
    <n v="249.99"/>
    <s v="Credit Card"/>
    <s v="North"/>
    <s v="Premium"/>
    <d v="2022-09-24T00:00:00"/>
    <n v="249.99"/>
    <x v="7"/>
  </r>
  <r>
    <s v="TRX0035"/>
    <d v="2024-11-11T00:00:00"/>
    <s v="CUST041"/>
    <s v="Peter Richardson"/>
    <s v="P003"/>
    <x v="3"/>
    <s v="Electronics"/>
    <n v="3"/>
    <n v="149.99"/>
    <s v="Cash"/>
    <s v="North"/>
    <s v="Basic"/>
    <d v="2022-07-27T00:00:00"/>
    <n v="449.97"/>
    <x v="7"/>
  </r>
  <r>
    <s v="TRX0172"/>
    <d v="2024-11-11T00:00:00"/>
    <s v="CUST023"/>
    <s v="Paul Baker"/>
    <s v="P005"/>
    <x v="1"/>
    <s v="Appliances"/>
    <n v="5"/>
    <n v="59.99"/>
    <s v="PayPal"/>
    <s v="West"/>
    <s v="Premium"/>
    <d v="2022-05-13T00:00:00"/>
    <n v="299.95"/>
    <x v="7"/>
  </r>
  <r>
    <s v="TRX0076"/>
    <d v="2024-11-11T00:00:00"/>
    <s v="CUST012"/>
    <s v="Patricia Moore"/>
    <s v="P009"/>
    <x v="0"/>
    <s v="Electronics"/>
    <n v="4"/>
    <n v="249.99"/>
    <s v="Credit Card"/>
    <s v="West"/>
    <s v="Standard"/>
    <d v="2022-04-08T00:00:00"/>
    <n v="999.96"/>
    <x v="7"/>
  </r>
  <r>
    <s v="TRX0210"/>
    <d v="2024-11-12T00:00:00"/>
    <s v="CUST004"/>
    <s v="Sarah Davis"/>
    <s v="P008"/>
    <x v="2"/>
    <s v="Furniture"/>
    <n v="5"/>
    <n v="149.99"/>
    <s v="PayPal"/>
    <s v="Central"/>
    <s v="Basic"/>
    <d v="2022-12-06T00:00:00"/>
    <n v="749.95"/>
    <x v="7"/>
  </r>
  <r>
    <s v="TRX0149"/>
    <d v="2024-11-12T00:00:00"/>
    <s v="CUST027"/>
    <s v="George Adams"/>
    <s v="P005"/>
    <x v="1"/>
    <s v="Appliances"/>
    <n v="3"/>
    <n v="59.99"/>
    <s v="Debit Card"/>
    <s v="South"/>
    <s v="Standard"/>
    <d v="2023-11-30T00:00:00"/>
    <n v="179.97"/>
    <x v="7"/>
  </r>
  <r>
    <s v="TRX0073"/>
    <d v="2024-11-17T00:00:00"/>
    <s v="CUST032"/>
    <s v="Sandra Phillips"/>
    <s v="P008"/>
    <x v="2"/>
    <s v="Furniture"/>
    <n v="5"/>
    <n v="149.99"/>
    <s v="Cash"/>
    <s v="North"/>
    <s v="Basic"/>
    <d v="2022-11-04T00:00:00"/>
    <n v="749.95"/>
    <x v="7"/>
  </r>
  <r>
    <s v="TRX0033"/>
    <d v="2024-11-17T00:00:00"/>
    <s v="CUST025"/>
    <s v="Mark Carter"/>
    <s v="P002"/>
    <x v="5"/>
    <s v="Electronics"/>
    <n v="2"/>
    <n v="699.99"/>
    <s v="PayPal"/>
    <s v="West"/>
    <s v="Standard"/>
    <d v="2022-07-28T00:00:00"/>
    <n v="1399.98"/>
    <x v="7"/>
  </r>
  <r>
    <s v="TRX0160"/>
    <d v="2024-11-21T00:00:00"/>
    <s v="CUST029"/>
    <s v="Edward Mitchell"/>
    <s v="P006"/>
    <x v="9"/>
    <s v="Furniture"/>
    <n v="4"/>
    <n v="199.99"/>
    <s v="Debit Card"/>
    <s v="Central"/>
    <s v="Premium"/>
    <d v="2021-08-19T00:00:00"/>
    <n v="799.96"/>
    <x v="7"/>
  </r>
  <r>
    <s v="TRX0145"/>
    <d v="2024-11-23T00:00:00"/>
    <s v="CUST033"/>
    <s v="Frank Torres"/>
    <s v="P005"/>
    <x v="1"/>
    <s v="Appliances"/>
    <n v="1"/>
    <n v="59.99"/>
    <s v="Debit Card"/>
    <s v="West"/>
    <s v="Standard"/>
    <d v="2021-12-30T00:00:00"/>
    <n v="59.99"/>
    <x v="7"/>
  </r>
  <r>
    <s v="TRX0148"/>
    <d v="2024-11-23T00:00:00"/>
    <s v="CUST004"/>
    <s v="Sarah Davis"/>
    <s v="P002"/>
    <x v="5"/>
    <s v="Electronics"/>
    <n v="3"/>
    <n v="699.99"/>
    <s v="PayPal"/>
    <s v="West"/>
    <s v="Standard"/>
    <d v="2022-01-22T00:00:00"/>
    <n v="2099.9699999999998"/>
    <x v="7"/>
  </r>
  <r>
    <s v="TRX0012"/>
    <d v="2024-11-26T00:00:00"/>
    <s v="CUST045"/>
    <s v="Douglas Watson"/>
    <s v="P009"/>
    <x v="0"/>
    <s v="Electronics"/>
    <n v="5"/>
    <n v="249.99"/>
    <s v="Credit Card"/>
    <s v="North"/>
    <s v="Basic"/>
    <d v="2022-11-08T00:00:00"/>
    <n v="1249.95"/>
    <x v="7"/>
  </r>
  <r>
    <s v="TRX0206"/>
    <d v="2024-11-27T00:00:00"/>
    <s v="CUST014"/>
    <s v="Linda Martin"/>
    <s v="P008"/>
    <x v="2"/>
    <s v="Furniture"/>
    <n v="2"/>
    <n v="149.99"/>
    <s v="Cash"/>
    <s v="South"/>
    <s v="Standard"/>
    <d v="2023-06-24T00:00:00"/>
    <n v="299.98"/>
    <x v="7"/>
  </r>
  <r>
    <s v="TRX0045"/>
    <d v="2024-12-01T00:00:00"/>
    <s v="CUST021"/>
    <s v="Kevin Scott"/>
    <s v="P007"/>
    <x v="6"/>
    <s v="Furniture"/>
    <n v="3"/>
    <n v="299.99"/>
    <s v="Cash"/>
    <s v="South"/>
    <s v="Premium"/>
    <d v="2022-04-08T00:00:00"/>
    <n v="899.97"/>
    <x v="8"/>
  </r>
  <r>
    <s v="TRX0094"/>
    <d v="2024-12-01T00:00:00"/>
    <s v="CUST017"/>
    <s v="Charles Allen"/>
    <s v="P009"/>
    <x v="0"/>
    <s v="Electronics"/>
    <n v="5"/>
    <n v="249.99"/>
    <s v="Cash"/>
    <s v="Central"/>
    <s v="Premium"/>
    <d v="2021-10-16T00:00:00"/>
    <n v="1249.95"/>
    <x v="8"/>
  </r>
  <r>
    <s v="TRX0133"/>
    <d v="2024-12-01T00:00:00"/>
    <s v="CUST013"/>
    <s v="Joseph Jackson"/>
    <s v="P003"/>
    <x v="3"/>
    <s v="Electronics"/>
    <n v="2"/>
    <n v="149.99"/>
    <s v="Cash"/>
    <s v="South"/>
    <s v="Premium"/>
    <d v="2021-10-06T00:00:00"/>
    <n v="299.98"/>
    <x v="8"/>
  </r>
  <r>
    <s v="TRX0201"/>
    <d v="2024-12-01T00:00:00"/>
    <s v="CUST025"/>
    <s v="Mark Carter"/>
    <s v="P002"/>
    <x v="5"/>
    <s v="Electronics"/>
    <n v="5"/>
    <n v="699.99"/>
    <s v="Debit Card"/>
    <s v="West"/>
    <s v="Standard"/>
    <d v="2023-01-18T00:00:00"/>
    <n v="3499.95"/>
    <x v="8"/>
  </r>
  <r>
    <s v="TRX0137"/>
    <d v="2024-12-03T00:00:00"/>
    <s v="CUST011"/>
    <s v="William White"/>
    <s v="P009"/>
    <x v="0"/>
    <s v="Electronics"/>
    <n v="4"/>
    <n v="249.99"/>
    <s v="PayPal"/>
    <s v="East"/>
    <s v="Premium"/>
    <d v="2023-06-21T00:00:00"/>
    <n v="999.96"/>
    <x v="8"/>
  </r>
  <r>
    <s v="TRX0066"/>
    <d v="2024-12-04T00:00:00"/>
    <s v="CUST024"/>
    <s v="Dorothy Nelson"/>
    <s v="P002"/>
    <x v="5"/>
    <s v="Electronics"/>
    <n v="4"/>
    <n v="699.99"/>
    <s v="Credit Card"/>
    <s v="North"/>
    <s v="Premium"/>
    <d v="2022-05-22T00:00:00"/>
    <n v="2799.96"/>
    <x v="8"/>
  </r>
  <r>
    <s v="TRX0180"/>
    <d v="2024-12-09T00:00:00"/>
    <s v="CUST036"/>
    <s v="Nancy Collins"/>
    <s v="P009"/>
    <x v="0"/>
    <s v="Electronics"/>
    <n v="2"/>
    <n v="249.99"/>
    <s v="Credit Card"/>
    <s v="Central"/>
    <s v="Premium"/>
    <d v="2021-07-19T00:00:00"/>
    <n v="499.98"/>
    <x v="8"/>
  </r>
  <r>
    <s v="TRX0082"/>
    <d v="2024-12-09T00:00:00"/>
    <s v="CUST005"/>
    <s v="James Johnson"/>
    <s v="P005"/>
    <x v="1"/>
    <s v="Appliances"/>
    <n v="3"/>
    <n v="59.99"/>
    <s v="Cash"/>
    <s v="Central"/>
    <s v="Premium"/>
    <d v="2023-05-06T00:00:00"/>
    <n v="179.97"/>
    <x v="8"/>
  </r>
  <r>
    <s v="TRX0036"/>
    <d v="2024-12-09T00:00:00"/>
    <s v="CUST008"/>
    <s v="Jennifer Taylor"/>
    <s v="P004"/>
    <x v="7"/>
    <s v="Appliances"/>
    <n v="4"/>
    <n v="79.989999999999995"/>
    <s v="Debit Card"/>
    <s v="East"/>
    <s v="Standard"/>
    <d v="2022-12-26T00:00:00"/>
    <n v="319.95999999999998"/>
    <x v="8"/>
  </r>
  <r>
    <s v="TRX0198"/>
    <d v="2024-12-10T00:00:00"/>
    <s v="CUST030"/>
    <s v="Helen Roberts"/>
    <s v="P004"/>
    <x v="7"/>
    <s v="Appliances"/>
    <n v="3"/>
    <n v="79.989999999999995"/>
    <s v="Debit Card"/>
    <s v="East"/>
    <s v="Standard"/>
    <d v="2022-08-06T00:00:00"/>
    <n v="239.97"/>
    <x v="8"/>
  </r>
  <r>
    <s v="TRX0032"/>
    <d v="2024-12-12T00:00:00"/>
    <s v="CUST041"/>
    <s v="Peter Richardson"/>
    <s v="P001"/>
    <x v="4"/>
    <s v="Electronics"/>
    <n v="2"/>
    <n v="899.99"/>
    <s v="Cash"/>
    <s v="North"/>
    <s v="Basic"/>
    <d v="2021-07-29T00:00:00"/>
    <n v="1799.98"/>
    <x v="8"/>
  </r>
  <r>
    <s v="TRX0081"/>
    <d v="2024-12-15T00:00:00"/>
    <s v="CUST007"/>
    <s v="David Martinez"/>
    <s v="P008"/>
    <x v="2"/>
    <s v="Furniture"/>
    <n v="1"/>
    <n v="149.99"/>
    <s v="Debit Card"/>
    <s v="East"/>
    <s v="Standard"/>
    <d v="2023-10-01T00:00:00"/>
    <n v="149.99"/>
    <x v="8"/>
  </r>
  <r>
    <s v="TRX0224"/>
    <d v="2024-12-15T00:00:00"/>
    <s v="CUST031"/>
    <s v="Steven Turner"/>
    <s v="P007"/>
    <x v="6"/>
    <s v="Furniture"/>
    <n v="2"/>
    <n v="299.99"/>
    <s v="Cash"/>
    <s v="East"/>
    <s v="Premium"/>
    <d v="2022-06-12T00:00:00"/>
    <n v="599.98"/>
    <x v="8"/>
  </r>
  <r>
    <s v="TRX0028"/>
    <d v="2024-12-18T00:00:00"/>
    <s v="CUST002"/>
    <s v="Emma Wilson"/>
    <s v="P005"/>
    <x v="1"/>
    <s v="Appliances"/>
    <n v="2"/>
    <n v="59.99"/>
    <s v="Cash"/>
    <s v="West"/>
    <s v="Basic"/>
    <d v="2023-09-22T00:00:00"/>
    <n v="119.98"/>
    <x v="8"/>
  </r>
  <r>
    <s v="TRX0183"/>
    <d v="2024-12-19T00:00:00"/>
    <s v="CUST007"/>
    <s v="David Martinez"/>
    <s v="P010"/>
    <x v="8"/>
    <s v="Electronics"/>
    <n v="1"/>
    <n v="89.99"/>
    <s v="Debit Card"/>
    <s v="Central"/>
    <s v="Standard"/>
    <d v="2022-07-18T00:00:00"/>
    <n v="89.99"/>
    <x v="8"/>
  </r>
  <r>
    <s v="TRX0163"/>
    <d v="2024-12-19T00:00:00"/>
    <s v="CUST019"/>
    <s v="Daniel King"/>
    <s v="P001"/>
    <x v="4"/>
    <s v="Electronics"/>
    <n v="5"/>
    <n v="899.99"/>
    <s v="Debit Card"/>
    <s v="East"/>
    <s v="Standard"/>
    <d v="2022-03-05T00:00:00"/>
    <n v="4499.95"/>
    <x v="8"/>
  </r>
  <r>
    <s v="TRX0046"/>
    <d v="2024-12-20T00:00:00"/>
    <s v="CUST003"/>
    <s v="Michael Brown"/>
    <s v="P008"/>
    <x v="2"/>
    <s v="Furniture"/>
    <n v="2"/>
    <n v="149.99"/>
    <s v="Cash"/>
    <s v="South"/>
    <s v="Basic"/>
    <d v="2023-11-09T00:00:00"/>
    <n v="299.98"/>
    <x v="8"/>
  </r>
  <r>
    <s v="TRX0164"/>
    <d v="2024-12-22T00:00:00"/>
    <s v="CUST014"/>
    <s v="Linda Martin"/>
    <s v="P003"/>
    <x v="3"/>
    <s v="Electronics"/>
    <n v="2"/>
    <n v="149.99"/>
    <s v="Debit Card"/>
    <s v="West"/>
    <s v="Premium"/>
    <d v="2023-12-20T00:00:00"/>
    <n v="299.98"/>
    <x v="8"/>
  </r>
  <r>
    <s v="TRX0008"/>
    <d v="2024-12-22T00:00:00"/>
    <s v="CUST007"/>
    <s v="David Martinez"/>
    <s v="P008"/>
    <x v="2"/>
    <s v="Furniture"/>
    <n v="3"/>
    <n v="149.99"/>
    <s v="Debit Card"/>
    <s v="North"/>
    <s v="Standard"/>
    <d v="2021-11-22T00:00:00"/>
    <n v="449.97"/>
    <x v="8"/>
  </r>
  <r>
    <s v="TRX0171"/>
    <d v="2024-12-23T00:00:00"/>
    <s v="CUST021"/>
    <s v="Kevin Scott"/>
    <s v="P007"/>
    <x v="6"/>
    <s v="Furniture"/>
    <n v="2"/>
    <n v="299.99"/>
    <s v="PayPal"/>
    <s v="South"/>
    <s v="Basic"/>
    <d v="2022-06-09T00:00:00"/>
    <n v="599.98"/>
    <x v="8"/>
  </r>
  <r>
    <s v="TRX0143"/>
    <d v="2024-12-28T00:00:00"/>
    <s v="CUST003"/>
    <s v="Michael Brown"/>
    <s v="P007"/>
    <x v="6"/>
    <s v="Furniture"/>
    <n v="2"/>
    <n v="299.99"/>
    <s v="Cash"/>
    <s v="West"/>
    <s v="Basic"/>
    <d v="2022-07-29T00:00:00"/>
    <n v="599.98"/>
    <x v="8"/>
  </r>
  <r>
    <s v="TRX0165"/>
    <d v="2024-12-28T00:00:00"/>
    <s v="CUST030"/>
    <s v="Helen Roberts"/>
    <s v="P006"/>
    <x v="9"/>
    <s v="Furniture"/>
    <n v="4"/>
    <n v="199.99"/>
    <s v="Credit Card"/>
    <s v="Central"/>
    <s v="Basic"/>
    <d v="2021-11-23T00:00:00"/>
    <n v="799.96"/>
    <x v="8"/>
  </r>
  <r>
    <s v="TRX0156"/>
    <d v="2024-12-29T00:00:00"/>
    <s v="CUST009"/>
    <s v="Robert Thomas"/>
    <s v="P010"/>
    <x v="8"/>
    <s v="Electronics"/>
    <n v="1"/>
    <n v="89.99"/>
    <s v="Credit Card"/>
    <s v="South"/>
    <s v="Premium"/>
    <d v="2022-01-30T00:00:00"/>
    <n v="89.99"/>
    <x v="8"/>
  </r>
  <r>
    <s v="TRX0147"/>
    <d v="2024-12-29T00:00:00"/>
    <s v="CUST036"/>
    <s v="Nancy Collins"/>
    <s v="P008"/>
    <x v="2"/>
    <s v="Furniture"/>
    <n v="5"/>
    <n v="149.99"/>
    <s v="Cash"/>
    <s v="Central"/>
    <s v="Premium"/>
    <d v="2024-02-25T00:00:00"/>
    <n v="749.95"/>
    <x v="8"/>
  </r>
  <r>
    <s v="TRX0207"/>
    <d v="2024-12-31T00:00:00"/>
    <s v="CUST025"/>
    <s v="Mark Carter"/>
    <s v="P001"/>
    <x v="4"/>
    <s v="Electronics"/>
    <n v="1"/>
    <n v="899.99"/>
    <s v="PayPal"/>
    <s v="North"/>
    <s v="Premium"/>
    <d v="2023-05-04T00:00:00"/>
    <n v="899.99"/>
    <x v="8"/>
  </r>
  <r>
    <s v="TRX0056"/>
    <d v="2025-01-03T00:00:00"/>
    <s v="CUST019"/>
    <s v="Daniel King"/>
    <s v="P010"/>
    <x v="8"/>
    <s v="Electronics"/>
    <n v="2"/>
    <n v="89.99"/>
    <s v="Credit Card"/>
    <s v="South"/>
    <s v="Premium"/>
    <d v="2022-01-03T00:00:00"/>
    <n v="179.98"/>
    <x v="9"/>
  </r>
  <r>
    <s v="TRX0026"/>
    <d v="2025-01-04T00:00:00"/>
    <s v="CUST037"/>
    <s v="Arthur Edwards"/>
    <s v="P001"/>
    <x v="4"/>
    <s v="Electronics"/>
    <n v="1"/>
    <n v="899.99"/>
    <s v="PayPal"/>
    <s v="North"/>
    <s v="Standard"/>
    <d v="2022-07-10T00:00:00"/>
    <n v="899.99"/>
    <x v="9"/>
  </r>
  <r>
    <s v="TRX0237"/>
    <d v="2025-01-06T00:00:00"/>
    <s v="CUST006"/>
    <s v="Lisa Anderson"/>
    <s v="P003"/>
    <x v="3"/>
    <s v="Electronics"/>
    <n v="5"/>
    <n v="149.99"/>
    <s v="PayPal"/>
    <s v="East"/>
    <s v="Premium"/>
    <d v="2022-09-20T00:00:00"/>
    <n v="749.95"/>
    <x v="9"/>
  </r>
  <r>
    <s v="TRX0091"/>
    <d v="2025-01-06T00:00:00"/>
    <s v="CUST003"/>
    <s v="Michael Brown"/>
    <s v="P007"/>
    <x v="6"/>
    <s v="Furniture"/>
    <n v="3"/>
    <n v="299.99"/>
    <s v="Cash"/>
    <s v="South"/>
    <s v="Standard"/>
    <d v="2021-08-14T00:00:00"/>
    <n v="899.97"/>
    <x v="9"/>
  </r>
  <r>
    <s v="TRX0125"/>
    <d v="2025-01-09T00:00:00"/>
    <s v="CUST026"/>
    <s v="Karen Hill"/>
    <s v="P002"/>
    <x v="5"/>
    <s v="Electronics"/>
    <n v="3"/>
    <n v="699.99"/>
    <s v="Credit Card"/>
    <s v="Central"/>
    <s v="Premium"/>
    <d v="2023-06-28T00:00:00"/>
    <n v="2099.9699999999998"/>
    <x v="9"/>
  </r>
  <r>
    <s v="TRX0223"/>
    <d v="2025-01-10T00:00:00"/>
    <s v="CUST036"/>
    <s v="Nancy Collins"/>
    <s v="P006"/>
    <x v="9"/>
    <s v="Furniture"/>
    <n v="5"/>
    <n v="199.99"/>
    <s v="PayPal"/>
    <s v="Central"/>
    <s v="Standard"/>
    <d v="2022-03-13T00:00:00"/>
    <n v="999.95"/>
    <x v="9"/>
  </r>
  <r>
    <s v="TRX0243"/>
    <d v="2025-01-10T00:00:00"/>
    <s v="CUST048"/>
    <s v="Virginia Sanders"/>
    <s v="P009"/>
    <x v="0"/>
    <s v="Electronics"/>
    <n v="5"/>
    <n v="249.99"/>
    <s v="Credit Card"/>
    <s v="South"/>
    <s v="Basic"/>
    <d v="2024-02-08T00:00:00"/>
    <n v="1249.95"/>
    <x v="9"/>
  </r>
  <r>
    <s v="TRX0084"/>
    <d v="2025-01-11T00:00:00"/>
    <s v="CUST031"/>
    <s v="Steven Turner"/>
    <s v="P003"/>
    <x v="3"/>
    <s v="Electronics"/>
    <n v="4"/>
    <n v="149.99"/>
    <s v="Debit Card"/>
    <s v="East"/>
    <s v="Standard"/>
    <d v="2021-12-06T00:00:00"/>
    <n v="599.96"/>
    <x v="9"/>
  </r>
  <r>
    <s v="TRX0238"/>
    <d v="2025-01-11T00:00:00"/>
    <s v="CUST038"/>
    <s v="Michelle Rogers"/>
    <s v="P002"/>
    <x v="5"/>
    <s v="Electronics"/>
    <n v="3"/>
    <n v="699.99"/>
    <s v="Cash"/>
    <s v="North"/>
    <s v="Premium"/>
    <d v="2022-02-10T00:00:00"/>
    <n v="2099.9699999999998"/>
    <x v="9"/>
  </r>
  <r>
    <s v="TRX0102"/>
    <d v="2025-01-13T00:00:00"/>
    <s v="CUST045"/>
    <s v="Douglas Watson"/>
    <s v="P004"/>
    <x v="7"/>
    <s v="Appliances"/>
    <n v="1"/>
    <n v="79.989999999999995"/>
    <s v="Credit Card"/>
    <s v="South"/>
    <s v="Basic"/>
    <d v="2024-01-31T00:00:00"/>
    <n v="79.989999999999995"/>
    <x v="9"/>
  </r>
  <r>
    <s v="TRX0022"/>
    <d v="2025-01-13T00:00:00"/>
    <s v="CUST025"/>
    <s v="Mark Carter"/>
    <s v="P007"/>
    <x v="6"/>
    <s v="Furniture"/>
    <n v="1"/>
    <n v="299.99"/>
    <s v="Credit Card"/>
    <s v="North"/>
    <s v="Basic"/>
    <d v="2021-08-28T00:00:00"/>
    <n v="299.99"/>
    <x v="9"/>
  </r>
  <r>
    <s v="TRX0087"/>
    <d v="2025-01-14T00:00:00"/>
    <s v="CUST028"/>
    <s v="Betty Campbell"/>
    <s v="P009"/>
    <x v="0"/>
    <s v="Electronics"/>
    <n v="4"/>
    <n v="249.99"/>
    <s v="Credit Card"/>
    <s v="North"/>
    <s v="Premium"/>
    <d v="2021-09-21T00:00:00"/>
    <n v="999.96"/>
    <x v="9"/>
  </r>
  <r>
    <s v="TRX0107"/>
    <d v="2025-01-14T00:00:00"/>
    <s v="CUST030"/>
    <s v="Helen Roberts"/>
    <s v="P003"/>
    <x v="3"/>
    <s v="Electronics"/>
    <n v="2"/>
    <n v="149.99"/>
    <s v="Cash"/>
    <s v="North"/>
    <s v="Standard"/>
    <d v="2022-12-18T00:00:00"/>
    <n v="299.98"/>
    <x v="9"/>
  </r>
  <r>
    <s v="TRX0051"/>
    <d v="2025-01-14T00:00:00"/>
    <s v="CUST032"/>
    <s v="Sandra Phillips"/>
    <s v="P007"/>
    <x v="6"/>
    <s v="Furniture"/>
    <n v="3"/>
    <n v="299.99"/>
    <s v="Credit Card"/>
    <s v="South"/>
    <s v="Basic"/>
    <d v="2023-10-05T00:00:00"/>
    <n v="899.97"/>
    <x v="9"/>
  </r>
  <r>
    <s v="TRX0106"/>
    <d v="2025-01-16T00:00:00"/>
    <s v="CUST039"/>
    <s v="Lawrence Reed"/>
    <s v="P006"/>
    <x v="9"/>
    <s v="Furniture"/>
    <n v="4"/>
    <n v="199.99"/>
    <s v="Debit Card"/>
    <s v="South"/>
    <s v="Standard"/>
    <d v="2021-12-14T00:00:00"/>
    <n v="799.96"/>
    <x v="9"/>
  </r>
  <r>
    <s v="TRX0059"/>
    <d v="2025-01-16T00:00:00"/>
    <s v="CUST016"/>
    <s v="Elizabeth Hall"/>
    <s v="P007"/>
    <x v="6"/>
    <s v="Furniture"/>
    <n v="5"/>
    <n v="299.99"/>
    <s v="Debit Card"/>
    <s v="Central"/>
    <s v="Basic"/>
    <d v="2021-08-23T00:00:00"/>
    <n v="1499.95"/>
    <x v="9"/>
  </r>
  <r>
    <s v="TRX0072"/>
    <d v="2025-01-16T00:00:00"/>
    <s v="CUST009"/>
    <s v="Robert Thomas"/>
    <s v="P008"/>
    <x v="2"/>
    <s v="Furniture"/>
    <n v="3"/>
    <n v="149.99"/>
    <s v="Credit Card"/>
    <s v="East"/>
    <s v="Standard"/>
    <d v="2021-07-18T00:00:00"/>
    <n v="449.97"/>
    <x v="9"/>
  </r>
  <r>
    <s v="TRX0110"/>
    <d v="2025-01-19T00:00:00"/>
    <s v="CUST006"/>
    <s v="Lisa Anderson"/>
    <s v="P005"/>
    <x v="1"/>
    <s v="Appliances"/>
    <n v="5"/>
    <n v="59.99"/>
    <s v="Debit Card"/>
    <s v="East"/>
    <s v="Basic"/>
    <d v="2022-03-22T00:00:00"/>
    <n v="299.95"/>
    <x v="9"/>
  </r>
  <r>
    <s v="TRX0126"/>
    <d v="2025-01-25T00:00:00"/>
    <s v="CUST022"/>
    <s v="Susan Green"/>
    <s v="P005"/>
    <x v="1"/>
    <s v="Appliances"/>
    <n v="4"/>
    <n v="59.99"/>
    <s v="Debit Card"/>
    <s v="East"/>
    <s v="Standard"/>
    <d v="2022-01-03T00:00:00"/>
    <n v="239.96"/>
    <x v="9"/>
  </r>
  <r>
    <s v="TRX0159"/>
    <d v="2025-01-26T00:00:00"/>
    <s v="CUST024"/>
    <s v="Dorothy Nelson"/>
    <s v="P009"/>
    <x v="0"/>
    <s v="Electronics"/>
    <n v="4"/>
    <n v="249.99"/>
    <s v="Debit Card"/>
    <s v="Central"/>
    <s v="Premium"/>
    <d v="2023-10-18T00:00:00"/>
    <n v="999.96"/>
    <x v="9"/>
  </r>
  <r>
    <s v="TRX0030"/>
    <d v="2025-01-29T00:00:00"/>
    <s v="CUST011"/>
    <s v="William White"/>
    <s v="P001"/>
    <x v="4"/>
    <s v="Electronics"/>
    <n v="4"/>
    <n v="899.99"/>
    <s v="PayPal"/>
    <s v="Central"/>
    <s v="Basic"/>
    <d v="2022-06-22T00:00:00"/>
    <n v="3599.96"/>
    <x v="9"/>
  </r>
  <r>
    <s v="TRX0178"/>
    <d v="2025-01-29T00:00:00"/>
    <s v="CUST025"/>
    <s v="Mark Carter"/>
    <s v="P007"/>
    <x v="6"/>
    <s v="Furniture"/>
    <n v="3"/>
    <n v="299.99"/>
    <s v="Debit Card"/>
    <s v="West"/>
    <s v="Standard"/>
    <d v="2023-01-26T00:00:00"/>
    <n v="899.97"/>
    <x v="9"/>
  </r>
  <r>
    <s v="TRX0188"/>
    <d v="2025-01-29T00:00:00"/>
    <s v="CUST045"/>
    <s v="Douglas Watson"/>
    <s v="P002"/>
    <x v="5"/>
    <s v="Electronics"/>
    <n v="2"/>
    <n v="699.99"/>
    <s v="Debit Card"/>
    <s v="Central"/>
    <s v="Premium"/>
    <d v="2022-04-30T00:00:00"/>
    <n v="1399.98"/>
    <x v="9"/>
  </r>
  <r>
    <s v="TRX0010"/>
    <d v="2025-01-31T00:00:00"/>
    <s v="CUST026"/>
    <s v="Karen Hill"/>
    <s v="P002"/>
    <x v="5"/>
    <s v="Electronics"/>
    <n v="4"/>
    <n v="699.99"/>
    <s v="Debit Card"/>
    <s v="West"/>
    <s v="Premium"/>
    <d v="2022-05-11T00:00:00"/>
    <n v="2799.96"/>
    <x v="9"/>
  </r>
  <r>
    <s v="TRX0069"/>
    <d v="2025-01-31T00:00:00"/>
    <s v="CUST029"/>
    <s v="Edward Mitchell"/>
    <s v="P010"/>
    <x v="8"/>
    <s v="Electronics"/>
    <n v="2"/>
    <n v="89.99"/>
    <s v="Debit Card"/>
    <s v="South"/>
    <s v="Basic"/>
    <d v="2022-08-04T00:00:00"/>
    <n v="179.98"/>
    <x v="9"/>
  </r>
  <r>
    <s v="TRX0166"/>
    <d v="2025-01-31T00:00:00"/>
    <s v="CUST003"/>
    <s v="Michael Brown"/>
    <s v="P010"/>
    <x v="8"/>
    <s v="Electronics"/>
    <n v="3"/>
    <n v="89.99"/>
    <s v="Debit Card"/>
    <s v="South"/>
    <s v="Premium"/>
    <d v="2024-01-16T00:00:00"/>
    <n v="269.97000000000003"/>
    <x v="9"/>
  </r>
  <r>
    <s v="TRX0219"/>
    <d v="2025-02-04T00:00:00"/>
    <s v="CUST037"/>
    <s v="Arthur Edwards"/>
    <s v="P005"/>
    <x v="1"/>
    <s v="Appliances"/>
    <n v="1"/>
    <n v="59.99"/>
    <s v="Debit Card"/>
    <s v="Central"/>
    <s v="Standard"/>
    <d v="2023-04-29T00:00:00"/>
    <n v="59.99"/>
    <x v="10"/>
  </r>
  <r>
    <s v="TRX0024"/>
    <d v="2025-02-07T00:00:00"/>
    <s v="CUST042"/>
    <s v="Ruth Brooks"/>
    <s v="P008"/>
    <x v="2"/>
    <s v="Furniture"/>
    <n v="3"/>
    <n v="149.99"/>
    <s v="Debit Card"/>
    <s v="North"/>
    <s v="Premium"/>
    <d v="2022-01-03T00:00:00"/>
    <n v="449.97"/>
    <x v="10"/>
  </r>
  <r>
    <s v="TRX0105"/>
    <d v="2025-02-07T00:00:00"/>
    <s v="CUST048"/>
    <s v="Virginia Sanders"/>
    <s v="P007"/>
    <x v="6"/>
    <s v="Furniture"/>
    <n v="5"/>
    <n v="299.99"/>
    <s v="Credit Card"/>
    <s v="South"/>
    <s v="Basic"/>
    <d v="2023-02-02T00:00:00"/>
    <n v="1499.95"/>
    <x v="10"/>
  </r>
  <r>
    <s v="TRX0011"/>
    <d v="2025-02-08T00:00:00"/>
    <s v="CUST040"/>
    <s v="Sharon Butler"/>
    <s v="P005"/>
    <x v="1"/>
    <s v="Appliances"/>
    <n v="5"/>
    <n v="59.99"/>
    <s v="Debit Card"/>
    <s v="Central"/>
    <s v="Standard"/>
    <d v="2023-09-08T00:00:00"/>
    <n v="299.95"/>
    <x v="10"/>
  </r>
  <r>
    <s v="TRX0187"/>
    <d v="2025-02-13T00:00:00"/>
    <s v="CUST036"/>
    <s v="Nancy Collins"/>
    <s v="P004"/>
    <x v="7"/>
    <s v="Appliances"/>
    <n v="3"/>
    <n v="79.989999999999995"/>
    <s v="Cash"/>
    <s v="East"/>
    <s v="Premium"/>
    <d v="2021-08-28T00:00:00"/>
    <n v="239.97"/>
    <x v="10"/>
  </r>
  <r>
    <s v="TRX0089"/>
    <d v="2025-02-16T00:00:00"/>
    <s v="CUST021"/>
    <s v="Kevin Scott"/>
    <s v="P006"/>
    <x v="9"/>
    <s v="Furniture"/>
    <n v="3"/>
    <n v="199.99"/>
    <s v="Cash"/>
    <s v="Central"/>
    <s v="Basic"/>
    <d v="2022-06-23T00:00:00"/>
    <n v="599.97"/>
    <x v="10"/>
  </r>
  <r>
    <s v="TRX0196"/>
    <d v="2025-02-16T00:00:00"/>
    <s v="CUST023"/>
    <s v="Paul Baker"/>
    <s v="P010"/>
    <x v="8"/>
    <s v="Electronics"/>
    <n v="2"/>
    <n v="89.99"/>
    <s v="PayPal"/>
    <s v="Central"/>
    <s v="Basic"/>
    <d v="2023-11-27T00:00:00"/>
    <n v="179.98"/>
    <x v="10"/>
  </r>
  <r>
    <s v="TRX0118"/>
    <d v="2025-02-17T00:00:00"/>
    <s v="CUST015"/>
    <s v="Richard Lee"/>
    <s v="P008"/>
    <x v="2"/>
    <s v="Furniture"/>
    <n v="2"/>
    <n v="149.99"/>
    <s v="Cash"/>
    <s v="South"/>
    <s v="Premium"/>
    <d v="2022-06-16T00:00:00"/>
    <n v="299.98"/>
    <x v="10"/>
  </r>
  <r>
    <s v="TRX0179"/>
    <d v="2025-02-19T00:00:00"/>
    <s v="CUST029"/>
    <s v="Edward Mitchell"/>
    <s v="P002"/>
    <x v="5"/>
    <s v="Electronics"/>
    <n v="5"/>
    <n v="699.99"/>
    <s v="PayPal"/>
    <s v="South"/>
    <s v="Premium"/>
    <d v="2024-03-01T00:00:00"/>
    <n v="3499.95"/>
    <x v="10"/>
  </r>
  <r>
    <s v="TRX0168"/>
    <d v="2025-02-19T00:00:00"/>
    <s v="CUST003"/>
    <s v="Michael Brown"/>
    <s v="P008"/>
    <x v="2"/>
    <s v="Furniture"/>
    <n v="3"/>
    <n v="149.99"/>
    <s v="PayPal"/>
    <s v="Central"/>
    <s v="Standard"/>
    <d v="2022-03-13T00:00:00"/>
    <n v="449.97"/>
    <x v="10"/>
  </r>
  <r>
    <s v="TRX0214"/>
    <d v="2025-02-20T00:00:00"/>
    <s v="CUST018"/>
    <s v="Barbara Young"/>
    <s v="P001"/>
    <x v="4"/>
    <s v="Electronics"/>
    <n v="3"/>
    <n v="899.99"/>
    <s v="Cash"/>
    <s v="East"/>
    <s v="Standard"/>
    <d v="2022-02-21T00:00:00"/>
    <n v="2699.97"/>
    <x v="10"/>
  </r>
  <r>
    <s v="TRX0221"/>
    <d v="2025-02-20T00:00:00"/>
    <s v="CUST033"/>
    <s v="Frank Torres"/>
    <s v="P006"/>
    <x v="9"/>
    <s v="Furniture"/>
    <n v="3"/>
    <n v="199.99"/>
    <s v="Cash"/>
    <s v="West"/>
    <s v="Premium"/>
    <d v="2022-09-19T00:00:00"/>
    <n v="599.97"/>
    <x v="10"/>
  </r>
  <r>
    <s v="TRX0083"/>
    <d v="2025-02-22T00:00:00"/>
    <s v="CUST017"/>
    <s v="Charles Allen"/>
    <s v="P007"/>
    <x v="6"/>
    <s v="Furniture"/>
    <n v="5"/>
    <n v="299.99"/>
    <s v="Cash"/>
    <s v="West"/>
    <s v="Standard"/>
    <d v="2023-08-04T00:00:00"/>
    <n v="1499.95"/>
    <x v="10"/>
  </r>
  <r>
    <s v="TRX0151"/>
    <d v="2025-02-22T00:00:00"/>
    <s v="CUST040"/>
    <s v="Sharon Butler"/>
    <s v="P002"/>
    <x v="5"/>
    <s v="Electronics"/>
    <n v="1"/>
    <n v="699.99"/>
    <s v="PayPal"/>
    <s v="West"/>
    <s v="Basic"/>
    <d v="2023-01-08T00:00:00"/>
    <n v="699.99"/>
    <x v="10"/>
  </r>
  <r>
    <s v="TRX0047"/>
    <d v="2025-02-23T00:00:00"/>
    <s v="CUST042"/>
    <s v="Ruth Brooks"/>
    <s v="P002"/>
    <x v="5"/>
    <s v="Electronics"/>
    <n v="1"/>
    <n v="699.99"/>
    <s v="Cash"/>
    <s v="North"/>
    <s v="Premium"/>
    <d v="2022-01-22T00:00:00"/>
    <n v="699.99"/>
    <x v="10"/>
  </r>
  <r>
    <s v="TRX0200"/>
    <d v="2025-02-23T00:00:00"/>
    <s v="CUST037"/>
    <s v="Arthur Edwards"/>
    <s v="P008"/>
    <x v="2"/>
    <s v="Furniture"/>
    <n v="4"/>
    <n v="149.99"/>
    <s v="PayPal"/>
    <s v="North"/>
    <s v="Premium"/>
    <d v="2021-08-04T00:00:00"/>
    <n v="599.96"/>
    <x v="10"/>
  </r>
  <r>
    <s v="TRX0062"/>
    <d v="2025-02-23T00:00:00"/>
    <s v="CUST016"/>
    <s v="Elizabeth Hall"/>
    <s v="P010"/>
    <x v="8"/>
    <s v="Electronics"/>
    <n v="5"/>
    <n v="89.99"/>
    <s v="PayPal"/>
    <s v="West"/>
    <s v="Premium"/>
    <d v="2023-08-02T00:00:00"/>
    <n v="449.95"/>
    <x v="10"/>
  </r>
  <r>
    <s v="TRX0182"/>
    <d v="2025-02-24T00:00:00"/>
    <s v="CUST031"/>
    <s v="Steven Turner"/>
    <s v="P006"/>
    <x v="9"/>
    <s v="Furniture"/>
    <n v="2"/>
    <n v="199.99"/>
    <s v="Cash"/>
    <s v="Central"/>
    <s v="Premium"/>
    <d v="2022-01-12T00:00:00"/>
    <n v="399.98"/>
    <x v="10"/>
  </r>
  <r>
    <s v="TRX0229"/>
    <d v="2025-02-27T00:00:00"/>
    <s v="CUST015"/>
    <s v="Richard Lee"/>
    <s v="P005"/>
    <x v="1"/>
    <s v="Appliances"/>
    <n v="4"/>
    <n v="59.99"/>
    <s v="Cash"/>
    <s v="West"/>
    <s v="Standard"/>
    <d v="2023-05-24T00:00:00"/>
    <n v="239.96"/>
    <x v="10"/>
  </r>
  <r>
    <s v="TRX0048"/>
    <d v="2025-02-27T00:00:00"/>
    <s v="CUST048"/>
    <s v="Virginia Sanders"/>
    <s v="P007"/>
    <x v="6"/>
    <s v="Furniture"/>
    <n v="2"/>
    <n v="299.99"/>
    <s v="PayPal"/>
    <s v="South"/>
    <s v="Basic"/>
    <d v="2022-01-15T00:00:00"/>
    <n v="599.98"/>
    <x v="10"/>
  </r>
  <r>
    <s v="TRX0227"/>
    <d v="2025-03-02T00:00:00"/>
    <s v="CUST017"/>
    <s v="Charles Allen"/>
    <s v="P008"/>
    <x v="2"/>
    <s v="Furniture"/>
    <n v="2"/>
    <n v="149.99"/>
    <s v="Cash"/>
    <s v="Central"/>
    <s v="Basic"/>
    <d v="2023-05-22T00:00:00"/>
    <n v="299.98"/>
    <x v="11"/>
  </r>
  <r>
    <s v="TRX0226"/>
    <d v="2025-03-04T00:00:00"/>
    <s v="CUST039"/>
    <s v="Lawrence Reed"/>
    <s v="P002"/>
    <x v="5"/>
    <s v="Electronics"/>
    <n v="5"/>
    <n v="699.99"/>
    <s v="Debit Card"/>
    <s v="East"/>
    <s v="Premium"/>
    <d v="2023-08-23T00:00:00"/>
    <n v="3499.95"/>
    <x v="11"/>
  </r>
  <r>
    <s v="TRX0053"/>
    <d v="2025-03-05T00:00:00"/>
    <s v="CUST043"/>
    <s v="Dennis Gray"/>
    <s v="P005"/>
    <x v="1"/>
    <s v="Appliances"/>
    <n v="5"/>
    <n v="59.99"/>
    <s v="Cash"/>
    <s v="West"/>
    <s v="Premium"/>
    <d v="2023-12-31T00:00:00"/>
    <n v="299.95"/>
    <x v="11"/>
  </r>
  <r>
    <s v="TRX0233"/>
    <d v="2025-03-07T00:00:00"/>
    <s v="CUST023"/>
    <s v="Paul Baker"/>
    <s v="P010"/>
    <x v="8"/>
    <s v="Electronics"/>
    <n v="2"/>
    <n v="89.99"/>
    <s v="Credit Card"/>
    <s v="West"/>
    <s v="Premium"/>
    <d v="2024-01-04T00:00:00"/>
    <n v="179.98"/>
    <x v="11"/>
  </r>
  <r>
    <s v="TRX0175"/>
    <d v="2025-03-07T00:00:00"/>
    <s v="CUST030"/>
    <s v="Helen Roberts"/>
    <s v="P009"/>
    <x v="0"/>
    <s v="Electronics"/>
    <n v="5"/>
    <n v="249.99"/>
    <s v="Cash"/>
    <s v="East"/>
    <s v="Standard"/>
    <d v="2021-12-10T00:00:00"/>
    <n v="1249.95"/>
    <x v="11"/>
  </r>
  <r>
    <s v="TRX0186"/>
    <d v="2025-03-08T00:00:00"/>
    <s v="CUST039"/>
    <s v="Lawrence Reed"/>
    <s v="P008"/>
    <x v="2"/>
    <s v="Furniture"/>
    <n v="2"/>
    <n v="149.99"/>
    <s v="PayPal"/>
    <s v="Central"/>
    <s v="Premium"/>
    <d v="2022-03-12T00:00:00"/>
    <n v="299.98"/>
    <x v="11"/>
  </r>
  <r>
    <s v="TRX0016"/>
    <d v="2025-03-08T00:00:00"/>
    <s v="CUST035"/>
    <s v="Harry Morgan"/>
    <s v="P001"/>
    <x v="4"/>
    <s v="Electronics"/>
    <n v="5"/>
    <n v="899.99"/>
    <s v="PayPal"/>
    <s v="East"/>
    <s v="Premium"/>
    <d v="2024-04-07T00:00:00"/>
    <n v="4499.95"/>
    <x v="11"/>
  </r>
  <r>
    <s v="TRX0199"/>
    <d v="2025-03-08T00:00:00"/>
    <s v="CUST017"/>
    <s v="Charles Allen"/>
    <s v="P008"/>
    <x v="2"/>
    <s v="Furniture"/>
    <n v="4"/>
    <n v="149.99"/>
    <s v="Cash"/>
    <s v="Central"/>
    <s v="Standard"/>
    <d v="2023-12-03T00:00:00"/>
    <n v="599.96"/>
    <x v="11"/>
  </r>
  <r>
    <s v="TRX0038"/>
    <d v="2025-03-10T00:00:00"/>
    <s v="CUST035"/>
    <s v="Harry Morgan"/>
    <s v="P009"/>
    <x v="0"/>
    <s v="Electronics"/>
    <n v="1"/>
    <n v="249.99"/>
    <s v="Cash"/>
    <s v="North"/>
    <s v="Standard"/>
    <d v="2023-07-10T00:00:00"/>
    <n v="249.99"/>
    <x v="11"/>
  </r>
  <r>
    <s v="TRX0014"/>
    <d v="2025-03-18T00:00:00"/>
    <s v="CUST033"/>
    <s v="Frank Torres"/>
    <s v="P005"/>
    <x v="1"/>
    <s v="Appliances"/>
    <n v="2"/>
    <n v="59.99"/>
    <s v="Credit Card"/>
    <s v="West"/>
    <s v="Basic"/>
    <d v="2023-09-24T00:00:00"/>
    <n v="119.98"/>
    <x v="11"/>
  </r>
  <r>
    <s v="TRX0003"/>
    <d v="2025-03-21T00:00:00"/>
    <s v="CUST002"/>
    <s v="Emma Wilson"/>
    <s v="P008"/>
    <x v="2"/>
    <s v="Furniture"/>
    <n v="2"/>
    <n v="149.99"/>
    <s v="Cash"/>
    <s v="West"/>
    <s v="Premium"/>
    <d v="2023-11-03T00:00:00"/>
    <n v="299.98"/>
    <x v="11"/>
  </r>
  <r>
    <s v="TRX0124"/>
    <d v="2025-03-21T00:00:00"/>
    <s v="CUST040"/>
    <s v="Sharon Butler"/>
    <s v="P001"/>
    <x v="4"/>
    <s v="Electronics"/>
    <n v="3"/>
    <n v="899.99"/>
    <s v="Debit Card"/>
    <s v="North"/>
    <s v="Premium"/>
    <d v="2022-11-11T00:00:00"/>
    <n v="2699.97"/>
    <x v="11"/>
  </r>
  <r>
    <s v="TRX0013"/>
    <d v="2025-03-21T00:00:00"/>
    <s v="CUST024"/>
    <s v="Dorothy Nelson"/>
    <s v="P001"/>
    <x v="4"/>
    <s v="Electronics"/>
    <n v="3"/>
    <n v="899.99"/>
    <s v="PayPal"/>
    <s v="North"/>
    <s v="Basic"/>
    <d v="2023-02-18T00:00:00"/>
    <n v="2699.97"/>
    <x v="11"/>
  </r>
  <r>
    <s v="TRX0019"/>
    <d v="2025-03-23T00:00:00"/>
    <s v="CUST023"/>
    <s v="Paul Baker"/>
    <s v="P007"/>
    <x v="6"/>
    <s v="Furniture"/>
    <n v="3"/>
    <n v="299.99"/>
    <s v="Credit Card"/>
    <s v="West"/>
    <s v="Premium"/>
    <d v="2023-11-04T00:00:00"/>
    <n v="899.97"/>
    <x v="11"/>
  </r>
  <r>
    <s v="TRX0050"/>
    <d v="2025-03-24T00:00:00"/>
    <s v="CUST001"/>
    <s v="John Smith"/>
    <s v="P008"/>
    <x v="2"/>
    <s v="Furniture"/>
    <n v="4"/>
    <n v="149.99"/>
    <s v="PayPal"/>
    <s v="West"/>
    <s v="Standard"/>
    <d v="2021-12-30T00:00:00"/>
    <n v="599.96"/>
    <x v="11"/>
  </r>
  <r>
    <s v="TRX0152"/>
    <d v="2025-03-27T00:00:00"/>
    <s v="CUST044"/>
    <s v="Cynthia Price"/>
    <s v="P004"/>
    <x v="7"/>
    <s v="Appliances"/>
    <n v="4"/>
    <n v="79.989999999999995"/>
    <s v="Credit Card"/>
    <s v="Central"/>
    <s v="Basic"/>
    <d v="2023-12-28T00:00:00"/>
    <n v="319.95999999999998"/>
    <x v="11"/>
  </r>
  <r>
    <s v="TRX0213"/>
    <d v="2025-03-29T00:00:00"/>
    <s v="CUST020"/>
    <s v="Margaret Wright"/>
    <s v="P010"/>
    <x v="8"/>
    <s v="Electronics"/>
    <n v="5"/>
    <n v="89.99"/>
    <s v="PayPal"/>
    <s v="South"/>
    <s v="Basic"/>
    <d v="2022-05-23T00:00:00"/>
    <n v="449.95"/>
    <x v="11"/>
  </r>
  <r>
    <s v="TRX0197"/>
    <d v="2025-03-30T00:00:00"/>
    <s v="CUST048"/>
    <s v="Virginia Sanders"/>
    <s v="P008"/>
    <x v="2"/>
    <s v="Furniture"/>
    <n v="3"/>
    <n v="149.99"/>
    <s v="PayPal"/>
    <s v="Central"/>
    <s v="Standard"/>
    <d v="2023-09-02T00:00:00"/>
    <n v="449.97"/>
    <x v="11"/>
  </r>
  <r>
    <s v="TRX0250"/>
    <d v="2025-03-30T00:00:00"/>
    <s v="CUST026"/>
    <s v="Karen Hill"/>
    <s v="P010"/>
    <x v="8"/>
    <s v="Electronics"/>
    <n v="2"/>
    <n v="89.99"/>
    <s v="Debit Card"/>
    <s v="West"/>
    <s v="Premium"/>
    <d v="2021-11-22T00:00:00"/>
    <n v="179.98"/>
    <x v="11"/>
  </r>
  <r>
    <s v="TRX0068"/>
    <d v="2025-04-01T00:00:00"/>
    <s v="CUST044"/>
    <s v="Cynthia Price"/>
    <s v="P002"/>
    <x v="5"/>
    <s v="Electronics"/>
    <n v="2"/>
    <n v="699.99"/>
    <s v="PayPal"/>
    <s v="North"/>
    <s v="Standard"/>
    <d v="2022-02-26T00:00:00"/>
    <n v="1399.98"/>
    <x v="0"/>
  </r>
  <r>
    <s v="TRX0144"/>
    <d v="2025-04-02T00:00:00"/>
    <s v="CUST029"/>
    <s v="Edward Mitchell"/>
    <s v="P001"/>
    <x v="4"/>
    <s v="Electronics"/>
    <n v="3"/>
    <n v="899.99"/>
    <s v="Cash"/>
    <s v="Central"/>
    <s v="Standard"/>
    <d v="2023-01-27T00:00:00"/>
    <n v="2699.97"/>
    <x v="0"/>
  </r>
  <r>
    <s v="TRX0039"/>
    <d v="2025-04-08T00:00:00"/>
    <s v="CUST048"/>
    <s v="Virginia Sanders"/>
    <s v="P004"/>
    <x v="7"/>
    <s v="Appliances"/>
    <n v="3"/>
    <n v="79.989999999999995"/>
    <s v="Credit Card"/>
    <s v="North"/>
    <s v="Basic"/>
    <d v="2021-11-11T00:00:00"/>
    <n v="239.97"/>
    <x v="0"/>
  </r>
  <r>
    <s v="TRX0116"/>
    <d v="2025-04-09T00:00:00"/>
    <s v="CUST009"/>
    <s v="Robert Thomas"/>
    <s v="P010"/>
    <x v="8"/>
    <s v="Electronics"/>
    <n v="1"/>
    <n v="89.99"/>
    <s v="Debit Card"/>
    <s v="East"/>
    <s v="Basic"/>
    <d v="2024-02-24T00:00:00"/>
    <n v="89.99"/>
    <x v="0"/>
  </r>
  <r>
    <s v="TRX0120"/>
    <d v="2025-04-11T00:00:00"/>
    <s v="CUST045"/>
    <s v="Douglas Watson"/>
    <s v="P002"/>
    <x v="5"/>
    <s v="Electronics"/>
    <n v="3"/>
    <n v="699.99"/>
    <s v="PayPal"/>
    <s v="North"/>
    <s v="Basic"/>
    <d v="2022-12-14T00:00:00"/>
    <n v="2099.9699999999998"/>
    <x v="0"/>
  </r>
  <r>
    <s v="TRX0103"/>
    <d v="2025-04-11T00:00:00"/>
    <s v="CUST039"/>
    <s v="Lawrence Reed"/>
    <s v="P010"/>
    <x v="8"/>
    <s v="Electronics"/>
    <n v="2"/>
    <n v="89.99"/>
    <s v="Debit Card"/>
    <s v="East"/>
    <s v="Basic"/>
    <d v="2023-06-11T00:00:00"/>
    <n v="179.98"/>
    <x v="0"/>
  </r>
  <r>
    <s v="TRX0064"/>
    <d v="2025-04-11T00:00:00"/>
    <s v="CUST031"/>
    <s v="Steven Turner"/>
    <s v="P010"/>
    <x v="8"/>
    <s v="Electronics"/>
    <n v="3"/>
    <n v="89.99"/>
    <s v="Debit Card"/>
    <s v="North"/>
    <s v="Premium"/>
    <d v="2022-11-13T00:00:00"/>
    <n v="269.97000000000003"/>
    <x v="0"/>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r>
    <m/>
    <m/>
    <m/>
    <m/>
    <m/>
    <x v="10"/>
    <m/>
    <m/>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E46192-73B4-47FA-8E87-C6F52D82EA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27" firstHeaderRow="1" firstDataRow="1" firstDataCol="0"/>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items count="2">
        <item x="0"/>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38BB8-65E5-4078-BD0C-5FC05C2330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15" firstHeaderRow="1" firstDataRow="1" firstDataCol="1"/>
  <pivotFields count="18">
    <pivotField showAll="0"/>
    <pivotField numFmtId="164" showAll="0"/>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h="1" x="0"/>
        <item h="1" x="2"/>
        <item t="default"/>
      </items>
    </pivotField>
    <pivotField showAll="0"/>
    <pivotField showAll="0"/>
    <pivotField showAll="0"/>
    <pivotField showAll="0"/>
    <pivotField showAll="0"/>
    <pivotField numFmtId="164" showAll="0"/>
    <pivotField dataField="1" showAll="0"/>
    <pivotField showAll="0"/>
    <pivotField showAll="0"/>
    <pivotField showAll="0"/>
    <pivotField showAll="0"/>
  </pivotFields>
  <rowFields count="1">
    <field x="3"/>
  </rowFields>
  <rowItems count="12">
    <i>
      <x v="20"/>
    </i>
    <i>
      <x v="29"/>
    </i>
    <i>
      <x v="7"/>
    </i>
    <i>
      <x v="8"/>
    </i>
    <i>
      <x v="45"/>
    </i>
    <i>
      <x v="18"/>
    </i>
    <i>
      <x v="5"/>
    </i>
    <i>
      <x v="37"/>
    </i>
    <i>
      <x v="13"/>
    </i>
    <i>
      <x v="4"/>
    </i>
    <i>
      <x v="26"/>
    </i>
    <i t="grand">
      <x/>
    </i>
  </rowItems>
  <colItems count="1">
    <i/>
  </colItems>
  <dataFields count="1">
    <dataField name="Sum of Total_Amount"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206F75-57C6-4CBC-A9B5-374B8F7DB9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D9"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 chart="4"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0995A-3B00-47D2-9F77-E4FB5A347B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showAll="0"/>
    <pivotField showAll="0"/>
    <pivotField showAll="0"/>
    <pivotField showAll="0"/>
  </pivotFields>
  <rowItems count="1">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4C033F-C5E2-49F9-AA40-5CF647DB076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6:E29" firstHeaderRow="1" firstDataRow="1" firstDataCol="1"/>
  <pivotFields count="15">
    <pivotField showAll="0"/>
    <pivotField showAll="0"/>
    <pivotField showAll="0"/>
    <pivotField showAll="0"/>
    <pivotField showAll="0"/>
    <pivotField showAll="0">
      <items count="12">
        <item h="1" x="1"/>
        <item x="2"/>
        <item h="1" x="7"/>
        <item h="1" x="6"/>
        <item h="1" x="3"/>
        <item h="1" x="8"/>
        <item h="1" x="4"/>
        <item h="1" x="0"/>
        <item h="1" x="9"/>
        <item h="1" x="5"/>
        <item h="1" x="10"/>
        <item t="default"/>
      </items>
    </pivotField>
    <pivotField showAll="0"/>
    <pivotField showAll="0"/>
    <pivotField showAll="0"/>
    <pivotField showAll="0"/>
    <pivotField showAll="0"/>
    <pivotField showAll="0"/>
    <pivotField showAll="0"/>
    <pivotField dataField="1" showAll="0"/>
    <pivotField axis="axisRow" showAll="0">
      <items count="14">
        <item x="9"/>
        <item x="10"/>
        <item x="11"/>
        <item x="0"/>
        <item x="1"/>
        <item x="2"/>
        <item x="3"/>
        <item x="4"/>
        <item x="5"/>
        <item x="6"/>
        <item x="7"/>
        <item x="8"/>
        <item x="12"/>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D4762A-1EEE-4956-8CF4-F250BF539ED1}" sourceName="Category">
  <pivotTables>
    <pivotTable tabId="7" name="PivotTable3"/>
  </pivotTables>
  <data>
    <tabular pivotCacheId="1444528346">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5D5803D-601C-4F24-A3F9-547D5E5A2D07}" sourceName="Product_Name">
  <pivotTables>
    <pivotTable tabId="7" name="PivotTable6"/>
  </pivotTables>
  <data>
    <tabular pivotCacheId="1863096858">
      <items count="11">
        <i x="1"/>
        <i x="2" s="1"/>
        <i x="7"/>
        <i x="6"/>
        <i x="3"/>
        <i x="8"/>
        <i x="4"/>
        <i x="0"/>
        <i x="9"/>
        <i x="5"/>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6BD8D46-4F14-4A88-81D2-E2A4884151CE}" cache="Slicer_Category" caption="Category" rowHeight="241300"/>
  <slicer name="Product_Name" xr10:uid="{7F405DB0-F3FD-4242-8BF6-A5B118633326}" cache="Slicer_Product_Name" caption="Product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A9ACA6-1C5B-4E39-BBB7-5E7266C822BA}" name="Table2" displayName="Table2" ref="A1:R251" totalsRowShown="0" headerRowDxfId="19" dataDxfId="18">
  <autoFilter ref="A1:R251" xr:uid="{81A9ACA6-1C5B-4E39-BBB7-5E7266C822BA}"/>
  <tableColumns count="18">
    <tableColumn id="1" xr3:uid="{4F1FC75D-EA31-4052-BA5A-5106824A0CBF}" name="Transaction_ID" dataDxfId="17"/>
    <tableColumn id="2" xr3:uid="{F3AF0D16-A5F8-4A38-A345-E0FA8850196C}" name="Date" dataDxfId="16"/>
    <tableColumn id="3" xr3:uid="{F52703EA-7393-4D7D-9B69-4FD02AF1EC07}" name="Customer_ID" dataDxfId="15"/>
    <tableColumn id="4" xr3:uid="{15DE3899-C192-4990-AD63-8FD944D151EC}" name="Customer_Name" dataDxfId="14"/>
    <tableColumn id="5" xr3:uid="{164AE853-D2AB-498B-B65C-042D101EE7D6}" name="Product_ID" dataDxfId="13"/>
    <tableColumn id="6" xr3:uid="{4A268798-B4EF-4DC0-A869-6777F536BB0B}" name="Product_Name" dataDxfId="12"/>
    <tableColumn id="7" xr3:uid="{5E31496C-60F9-470D-B8AD-43D2337B1240}" name="Category" dataDxfId="11"/>
    <tableColumn id="8" xr3:uid="{B44BD935-98FB-478C-9E65-0CE219CA8B48}" name="Quantity" dataDxfId="10"/>
    <tableColumn id="9" xr3:uid="{A9D2E547-C131-49C1-BE94-0FE9F8995011}" name="Unit_Price" dataDxfId="9"/>
    <tableColumn id="10" xr3:uid="{3CD39C8E-1FB4-4B85-A307-4E6DA1CE063E}" name="Payment_Method" dataDxfId="8"/>
    <tableColumn id="11" xr3:uid="{A04919A8-1730-4F75-A71D-9C955EF685A4}" name="Region" dataDxfId="7"/>
    <tableColumn id="12" xr3:uid="{132603FB-EC8B-45BB-B395-55FFBC5F61AA}" name="Customer_Segment" dataDxfId="6"/>
    <tableColumn id="13" xr3:uid="{2E33559A-A981-46A7-9FDF-803A297C2191}" name="Customer_Since" dataDxfId="5"/>
    <tableColumn id="14" xr3:uid="{2F8F5146-962D-4CDB-9241-84380EF8FADA}" name="Total_Amount" dataDxfId="4"/>
    <tableColumn id="19" xr3:uid="{0A32D2B4-2B3A-4A2B-BC9F-FA16CE97EBC7}" name="month" dataDxfId="3">
      <calculatedColumnFormula>TEXT(Table2[[#This Row],[Date]],"mmm")</calculatedColumnFormula>
    </tableColumn>
    <tableColumn id="16" xr3:uid="{1BBA8C61-F6D4-4A75-96BB-C0C15C7A4597}" name="Column2" dataDxfId="2"/>
    <tableColumn id="17" xr3:uid="{94F3FCF8-B56F-4B4B-87BD-F5B2D64E59D7}" name="Column3" dataDxfId="1"/>
    <tableColumn id="18" xr3:uid="{9B741982-EBAC-44EE-A10C-EA72B32737C3}" name="product quantity" dataDxfId="0">
      <calculatedColumnFormula>SUMIF(Table2[Product_Name],F4,Table2[[#All],[Quantity]])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4901-DA73-46E0-9EED-933CA8DDDFE6}">
  <dimension ref="A3:G29"/>
  <sheetViews>
    <sheetView workbookViewId="0">
      <selection activeCell="A3" sqref="A3:B4"/>
    </sheetView>
  </sheetViews>
  <sheetFormatPr defaultRowHeight="14.4" x14ac:dyDescent="0.3"/>
  <cols>
    <col min="1" max="1" width="19.77734375" bestFit="1" customWidth="1"/>
    <col min="3" max="3" width="13.109375" bestFit="1" customWidth="1"/>
    <col min="4" max="4" width="12.5546875" bestFit="1" customWidth="1"/>
    <col min="5" max="5" width="19.77734375" bestFit="1" customWidth="1"/>
    <col min="6" max="6" width="13.33203125" bestFit="1" customWidth="1"/>
    <col min="7" max="7" width="19.77734375" bestFit="1" customWidth="1"/>
  </cols>
  <sheetData>
    <row r="3" spans="1:7" x14ac:dyDescent="0.3">
      <c r="A3" t="s">
        <v>408</v>
      </c>
      <c r="C3" s="31" t="s">
        <v>409</v>
      </c>
      <c r="D3" t="s">
        <v>408</v>
      </c>
      <c r="F3" s="31" t="s">
        <v>409</v>
      </c>
      <c r="G3" t="s">
        <v>408</v>
      </c>
    </row>
    <row r="4" spans="1:7" x14ac:dyDescent="0.3">
      <c r="A4">
        <v>229192.47000000032</v>
      </c>
      <c r="C4" s="32" t="s">
        <v>23</v>
      </c>
      <c r="D4">
        <v>41288.340000000018</v>
      </c>
      <c r="F4" s="32" t="s">
        <v>144</v>
      </c>
      <c r="G4" s="44">
        <v>639.91999999999996</v>
      </c>
    </row>
    <row r="5" spans="1:7" x14ac:dyDescent="0.3">
      <c r="C5" s="32" t="s">
        <v>65</v>
      </c>
      <c r="D5">
        <v>59288.389999999992</v>
      </c>
      <c r="F5" s="32" t="s">
        <v>132</v>
      </c>
      <c r="G5" s="44">
        <v>539.91999999999996</v>
      </c>
    </row>
    <row r="6" spans="1:7" x14ac:dyDescent="0.3">
      <c r="C6" s="32" t="s">
        <v>42</v>
      </c>
      <c r="D6">
        <v>50808.310000000012</v>
      </c>
      <c r="F6" s="32" t="s">
        <v>185</v>
      </c>
      <c r="G6" s="44">
        <v>519.92999999999995</v>
      </c>
    </row>
    <row r="7" spans="1:7" x14ac:dyDescent="0.3">
      <c r="C7" s="32" t="s">
        <v>37</v>
      </c>
      <c r="D7">
        <v>36398.750000000007</v>
      </c>
      <c r="F7" s="32" t="s">
        <v>78</v>
      </c>
      <c r="G7" s="44">
        <v>479.91999999999996</v>
      </c>
    </row>
    <row r="8" spans="1:7" x14ac:dyDescent="0.3">
      <c r="C8" s="32" t="s">
        <v>52</v>
      </c>
      <c r="D8">
        <v>41408.680000000015</v>
      </c>
      <c r="F8" s="32" t="s">
        <v>153</v>
      </c>
      <c r="G8" s="44">
        <v>419.93</v>
      </c>
    </row>
    <row r="9" spans="1:7" x14ac:dyDescent="0.3">
      <c r="C9" s="32" t="s">
        <v>410</v>
      </c>
      <c r="D9">
        <v>229192.47000000006</v>
      </c>
      <c r="F9" s="32" t="s">
        <v>123</v>
      </c>
      <c r="G9" s="44">
        <v>359.95</v>
      </c>
    </row>
    <row r="10" spans="1:7" x14ac:dyDescent="0.3">
      <c r="A10" s="22"/>
      <c r="B10" s="23"/>
      <c r="C10" s="24"/>
      <c r="F10" s="32" t="s">
        <v>105</v>
      </c>
      <c r="G10" s="44">
        <v>319.95999999999998</v>
      </c>
    </row>
    <row r="11" spans="1:7" x14ac:dyDescent="0.3">
      <c r="A11" s="25"/>
      <c r="B11" s="26"/>
      <c r="C11" s="27"/>
      <c r="F11" s="32" t="s">
        <v>18</v>
      </c>
      <c r="G11" s="44">
        <v>299.95</v>
      </c>
    </row>
    <row r="12" spans="1:7" x14ac:dyDescent="0.3">
      <c r="A12" s="25"/>
      <c r="B12" s="26"/>
      <c r="C12" s="27"/>
      <c r="F12" s="32" t="s">
        <v>135</v>
      </c>
      <c r="G12" s="44">
        <v>299.95</v>
      </c>
    </row>
    <row r="13" spans="1:7" x14ac:dyDescent="0.3">
      <c r="A13" s="25"/>
      <c r="B13" s="26"/>
      <c r="C13" s="27"/>
      <c r="F13" s="32" t="s">
        <v>58</v>
      </c>
      <c r="G13" s="44">
        <v>259.95999999999998</v>
      </c>
    </row>
    <row r="14" spans="1:7" x14ac:dyDescent="0.3">
      <c r="A14" s="25"/>
      <c r="B14" s="26"/>
      <c r="C14" s="27"/>
      <c r="F14" s="32" t="s">
        <v>32</v>
      </c>
      <c r="G14" s="44">
        <v>259.95999999999998</v>
      </c>
    </row>
    <row r="15" spans="1:7" x14ac:dyDescent="0.3">
      <c r="A15" s="25"/>
      <c r="B15" s="26"/>
      <c r="C15" s="27"/>
      <c r="F15" s="32" t="s">
        <v>410</v>
      </c>
      <c r="G15" s="44">
        <v>4399.3500000000004</v>
      </c>
    </row>
    <row r="16" spans="1:7" x14ac:dyDescent="0.3">
      <c r="A16" s="25"/>
      <c r="B16" s="26"/>
      <c r="C16" s="27"/>
      <c r="D16" s="31" t="s">
        <v>409</v>
      </c>
      <c r="E16" t="s">
        <v>408</v>
      </c>
    </row>
    <row r="17" spans="1:5" x14ac:dyDescent="0.3">
      <c r="A17" s="25"/>
      <c r="B17" s="26"/>
      <c r="C17" s="27"/>
      <c r="D17" s="32" t="s">
        <v>412</v>
      </c>
      <c r="E17" s="44">
        <v>449.97</v>
      </c>
    </row>
    <row r="18" spans="1:5" x14ac:dyDescent="0.3">
      <c r="A18" s="25"/>
      <c r="B18" s="26"/>
      <c r="C18" s="27"/>
      <c r="D18" s="32" t="s">
        <v>413</v>
      </c>
      <c r="E18" s="44">
        <v>1799.88</v>
      </c>
    </row>
    <row r="19" spans="1:5" x14ac:dyDescent="0.3">
      <c r="A19" s="25"/>
      <c r="B19" s="26"/>
      <c r="C19" s="27"/>
      <c r="D19" s="32" t="s">
        <v>414</v>
      </c>
      <c r="E19" s="44">
        <v>2549.8300000000004</v>
      </c>
    </row>
    <row r="20" spans="1:5" x14ac:dyDescent="0.3">
      <c r="A20" s="25"/>
      <c r="B20" s="26"/>
      <c r="C20" s="27"/>
      <c r="D20" s="32" t="s">
        <v>415</v>
      </c>
      <c r="E20" s="44">
        <v>2699.82</v>
      </c>
    </row>
    <row r="21" spans="1:5" x14ac:dyDescent="0.3">
      <c r="A21" s="25"/>
      <c r="B21" s="26"/>
      <c r="C21" s="27"/>
      <c r="D21" s="32" t="s">
        <v>416</v>
      </c>
      <c r="E21" s="44">
        <v>749.95</v>
      </c>
    </row>
    <row r="22" spans="1:5" x14ac:dyDescent="0.3">
      <c r="A22" s="25"/>
      <c r="B22" s="26"/>
      <c r="C22" s="27"/>
      <c r="D22" s="32" t="s">
        <v>417</v>
      </c>
      <c r="E22" s="44">
        <v>449.97</v>
      </c>
    </row>
    <row r="23" spans="1:5" x14ac:dyDescent="0.3">
      <c r="A23" s="25"/>
      <c r="B23" s="26"/>
      <c r="C23" s="27"/>
      <c r="D23" s="32" t="s">
        <v>418</v>
      </c>
      <c r="E23" s="44">
        <v>599.96</v>
      </c>
    </row>
    <row r="24" spans="1:5" x14ac:dyDescent="0.3">
      <c r="A24" s="25"/>
      <c r="B24" s="26"/>
      <c r="C24" s="27"/>
      <c r="D24" s="32" t="s">
        <v>419</v>
      </c>
      <c r="E24" s="44">
        <v>1349.91</v>
      </c>
    </row>
    <row r="25" spans="1:5" x14ac:dyDescent="0.3">
      <c r="A25" s="25"/>
      <c r="B25" s="26"/>
      <c r="C25" s="27"/>
      <c r="D25" s="32" t="s">
        <v>420</v>
      </c>
      <c r="E25" s="44">
        <v>449.97</v>
      </c>
    </row>
    <row r="26" spans="1:5" x14ac:dyDescent="0.3">
      <c r="A26" s="25"/>
      <c r="B26" s="26"/>
      <c r="C26" s="27"/>
      <c r="D26" s="32" t="s">
        <v>421</v>
      </c>
      <c r="E26" s="44">
        <v>449.97</v>
      </c>
    </row>
    <row r="27" spans="1:5" x14ac:dyDescent="0.3">
      <c r="A27" s="28"/>
      <c r="B27" s="29"/>
      <c r="C27" s="30"/>
      <c r="D27" s="32" t="s">
        <v>422</v>
      </c>
      <c r="E27" s="44">
        <v>2099.86</v>
      </c>
    </row>
    <row r="28" spans="1:5" x14ac:dyDescent="0.3">
      <c r="D28" s="32" t="s">
        <v>423</v>
      </c>
      <c r="E28" s="44">
        <v>1649.89</v>
      </c>
    </row>
    <row r="29" spans="1:5" x14ac:dyDescent="0.3">
      <c r="D29" s="32" t="s">
        <v>410</v>
      </c>
      <c r="E29" s="44">
        <v>15298.98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7F16-0E32-4025-8C48-E85F7057D236}">
  <dimension ref="A1:N132"/>
  <sheetViews>
    <sheetView topLeftCell="G1" zoomScale="79" workbookViewId="0">
      <selection activeCell="G3" sqref="A2:N132"/>
    </sheetView>
  </sheetViews>
  <sheetFormatPr defaultRowHeight="14.4" x14ac:dyDescent="0.3"/>
  <cols>
    <col min="1" max="1" width="8.109375" bestFit="1" customWidth="1"/>
    <col min="2" max="2" width="6" bestFit="1" customWidth="1"/>
    <col min="3" max="3" width="8.33203125" bestFit="1" customWidth="1"/>
    <col min="4" max="4" width="16.44140625" bestFit="1" customWidth="1"/>
    <col min="5" max="5" width="5" bestFit="1" customWidth="1"/>
    <col min="6" max="6" width="11.88671875" bestFit="1" customWidth="1"/>
    <col min="7" max="7" width="10.33203125" customWidth="1"/>
    <col min="8" max="8" width="8.5546875" bestFit="1" customWidth="1"/>
    <col min="9" max="9" width="10.109375" bestFit="1" customWidth="1"/>
    <col min="10" max="10" width="17" bestFit="1" customWidth="1"/>
    <col min="11" max="11" width="7.33203125" bestFit="1" customWidth="1"/>
    <col min="12" max="12" width="18.44140625" bestFit="1" customWidth="1"/>
    <col min="13" max="13" width="15.109375" bestFit="1" customWidth="1"/>
    <col min="14" max="14" width="13.44140625" bestFit="1" customWidth="1"/>
  </cols>
  <sheetData>
    <row r="1" spans="1:14" x14ac:dyDescent="0.3">
      <c r="A1" s="8" t="s">
        <v>2</v>
      </c>
      <c r="B1" s="7" t="s">
        <v>3</v>
      </c>
      <c r="C1" s="7" t="s">
        <v>4</v>
      </c>
      <c r="D1" s="7" t="s">
        <v>5</v>
      </c>
      <c r="E1" s="7" t="s">
        <v>6</v>
      </c>
      <c r="F1" s="7" t="s">
        <v>7</v>
      </c>
      <c r="G1" s="7" t="s">
        <v>8</v>
      </c>
      <c r="H1" s="7" t="s">
        <v>9</v>
      </c>
      <c r="I1" s="7" t="s">
        <v>10</v>
      </c>
      <c r="J1" s="7" t="s">
        <v>11</v>
      </c>
      <c r="K1" s="7" t="s">
        <v>12</v>
      </c>
      <c r="L1" s="7" t="s">
        <v>13</v>
      </c>
      <c r="M1" s="7" t="s">
        <v>14</v>
      </c>
      <c r="N1" s="7" t="s">
        <v>15</v>
      </c>
    </row>
    <row r="2" spans="1:14" x14ac:dyDescent="0.3">
      <c r="A2" t="str" cm="1">
        <f t="array" ref="A2:N132">_xlfn._xlws.FILTER(Table2[[Transaction_ID]:[Total_Amount]], Table2[Category]="Electronics")</f>
        <v>TRX0155</v>
      </c>
      <c r="B2">
        <v>45393</v>
      </c>
      <c r="C2" t="str">
        <v>CUST023</v>
      </c>
      <c r="D2" t="str">
        <v>Paul Baker</v>
      </c>
      <c r="E2" t="str">
        <v>P009</v>
      </c>
      <c r="F2" t="str">
        <v>Monitor</v>
      </c>
      <c r="G2" t="str">
        <v>Electronics</v>
      </c>
      <c r="H2">
        <v>3</v>
      </c>
      <c r="I2">
        <v>249.99</v>
      </c>
      <c r="J2" t="str">
        <v>Cash</v>
      </c>
      <c r="K2" t="str">
        <v>Central</v>
      </c>
      <c r="L2" t="str">
        <v>Basic</v>
      </c>
      <c r="M2">
        <v>44425</v>
      </c>
      <c r="N2">
        <v>749.97</v>
      </c>
    </row>
    <row r="3" spans="1:14" x14ac:dyDescent="0.3">
      <c r="A3" t="str">
        <v>TRX0023</v>
      </c>
      <c r="B3">
        <v>45396</v>
      </c>
      <c r="C3" t="str">
        <v>CUST013</v>
      </c>
      <c r="D3" t="str">
        <v>Joseph Jackson</v>
      </c>
      <c r="E3" t="str">
        <v>P009</v>
      </c>
      <c r="F3" t="str">
        <v>Monitor</v>
      </c>
      <c r="G3" t="str">
        <v>Electronics</v>
      </c>
      <c r="H3">
        <v>3</v>
      </c>
      <c r="I3">
        <v>249.99</v>
      </c>
      <c r="J3" t="str">
        <v>Credit Card</v>
      </c>
      <c r="K3" t="str">
        <v>Central</v>
      </c>
      <c r="L3" t="str">
        <v>Premium</v>
      </c>
      <c r="M3">
        <v>44575</v>
      </c>
      <c r="N3">
        <v>749.97</v>
      </c>
    </row>
    <row r="4" spans="1:14" x14ac:dyDescent="0.3">
      <c r="A4" t="str">
        <v>TRX0193</v>
      </c>
      <c r="B4">
        <v>45403</v>
      </c>
      <c r="C4" t="str">
        <v>CUST024</v>
      </c>
      <c r="D4" t="str">
        <v>Dorothy Nelson</v>
      </c>
      <c r="E4" t="str">
        <v>P003</v>
      </c>
      <c r="F4" t="str">
        <v>Headphones</v>
      </c>
      <c r="G4" t="str">
        <v>Electronics</v>
      </c>
      <c r="H4">
        <v>5</v>
      </c>
      <c r="I4">
        <v>149.99</v>
      </c>
      <c r="J4" t="str">
        <v>Credit Card</v>
      </c>
      <c r="K4" t="str">
        <v>Central</v>
      </c>
      <c r="L4" t="str">
        <v>Standard</v>
      </c>
      <c r="M4">
        <v>44418</v>
      </c>
      <c r="N4">
        <v>749.95</v>
      </c>
    </row>
    <row r="5" spans="1:14" x14ac:dyDescent="0.3">
      <c r="A5" t="str">
        <v>TRX0135</v>
      </c>
      <c r="B5">
        <v>45405</v>
      </c>
      <c r="C5" t="str">
        <v>CUST009</v>
      </c>
      <c r="D5" t="str">
        <v>Robert Thomas</v>
      </c>
      <c r="E5" t="str">
        <v>P001</v>
      </c>
      <c r="F5" t="str">
        <v>Laptop</v>
      </c>
      <c r="G5" t="str">
        <v>Electronics</v>
      </c>
      <c r="H5">
        <v>3</v>
      </c>
      <c r="I5">
        <v>899.99</v>
      </c>
      <c r="J5" t="str">
        <v>PayPal</v>
      </c>
      <c r="K5" t="str">
        <v>East</v>
      </c>
      <c r="L5" t="str">
        <v>Standard</v>
      </c>
      <c r="M5">
        <v>45299</v>
      </c>
      <c r="N5">
        <v>2699.97</v>
      </c>
    </row>
    <row r="6" spans="1:14" x14ac:dyDescent="0.3">
      <c r="A6" t="str">
        <v>TRX0191</v>
      </c>
      <c r="B6">
        <v>45409</v>
      </c>
      <c r="C6" t="str">
        <v>CUST038</v>
      </c>
      <c r="D6" t="str">
        <v>Michelle Rogers</v>
      </c>
      <c r="E6" t="str">
        <v>P002</v>
      </c>
      <c r="F6" t="str">
        <v>Smartphone</v>
      </c>
      <c r="G6" t="str">
        <v>Electronics</v>
      </c>
      <c r="H6">
        <v>3</v>
      </c>
      <c r="I6">
        <v>699.99</v>
      </c>
      <c r="J6" t="str">
        <v>Credit Card</v>
      </c>
      <c r="K6" t="str">
        <v>West</v>
      </c>
      <c r="L6" t="str">
        <v>Basic</v>
      </c>
      <c r="M6">
        <v>44577</v>
      </c>
      <c r="N6">
        <v>2099.9699999999998</v>
      </c>
    </row>
    <row r="7" spans="1:14" x14ac:dyDescent="0.3">
      <c r="A7" t="str">
        <v>TRX0230</v>
      </c>
      <c r="B7">
        <v>45409</v>
      </c>
      <c r="C7" t="str">
        <v>CUST027</v>
      </c>
      <c r="D7" t="str">
        <v>George Adams</v>
      </c>
      <c r="E7" t="str">
        <v>P001</v>
      </c>
      <c r="F7" t="str">
        <v>Laptop</v>
      </c>
      <c r="G7" t="str">
        <v>Electronics</v>
      </c>
      <c r="H7">
        <v>1</v>
      </c>
      <c r="I7">
        <v>899.99</v>
      </c>
      <c r="J7" t="str">
        <v>Debit Card</v>
      </c>
      <c r="K7" t="str">
        <v>North</v>
      </c>
      <c r="L7" t="str">
        <v>Standard</v>
      </c>
      <c r="M7">
        <v>44920</v>
      </c>
      <c r="N7">
        <v>899.99</v>
      </c>
    </row>
    <row r="8" spans="1:14" x14ac:dyDescent="0.3">
      <c r="A8" t="str">
        <v>TRX0134</v>
      </c>
      <c r="B8">
        <v>45410</v>
      </c>
      <c r="C8" t="str">
        <v>CUST010</v>
      </c>
      <c r="D8" t="str">
        <v>Maria Garcia</v>
      </c>
      <c r="E8" t="str">
        <v>P002</v>
      </c>
      <c r="F8" t="str">
        <v>Smartphone</v>
      </c>
      <c r="G8" t="str">
        <v>Electronics</v>
      </c>
      <c r="H8">
        <v>2</v>
      </c>
      <c r="I8">
        <v>699.99</v>
      </c>
      <c r="J8" t="str">
        <v>Cash</v>
      </c>
      <c r="K8" t="str">
        <v>North</v>
      </c>
      <c r="L8" t="str">
        <v>Basic</v>
      </c>
      <c r="M8">
        <v>44781</v>
      </c>
      <c r="N8">
        <v>1399.98</v>
      </c>
    </row>
    <row r="9" spans="1:14" x14ac:dyDescent="0.3">
      <c r="A9" t="str">
        <v>TRX0122</v>
      </c>
      <c r="B9">
        <v>45410</v>
      </c>
      <c r="C9" t="str">
        <v>CUST025</v>
      </c>
      <c r="D9" t="str">
        <v>Mark Carter</v>
      </c>
      <c r="E9" t="str">
        <v>P001</v>
      </c>
      <c r="F9" t="str">
        <v>Laptop</v>
      </c>
      <c r="G9" t="str">
        <v>Electronics</v>
      </c>
      <c r="H9">
        <v>4</v>
      </c>
      <c r="I9">
        <v>899.99</v>
      </c>
      <c r="J9" t="str">
        <v>Credit Card</v>
      </c>
      <c r="K9" t="str">
        <v>West</v>
      </c>
      <c r="L9" t="str">
        <v>Standard</v>
      </c>
      <c r="M9">
        <v>45327</v>
      </c>
      <c r="N9">
        <v>3599.96</v>
      </c>
    </row>
    <row r="10" spans="1:14" x14ac:dyDescent="0.3">
      <c r="A10" t="str">
        <v>TRX0222</v>
      </c>
      <c r="B10">
        <v>45410</v>
      </c>
      <c r="C10" t="str">
        <v>CUST048</v>
      </c>
      <c r="D10" t="str">
        <v>Virginia Sanders</v>
      </c>
      <c r="E10" t="str">
        <v>P009</v>
      </c>
      <c r="F10" t="str">
        <v>Monitor</v>
      </c>
      <c r="G10" t="str">
        <v>Electronics</v>
      </c>
      <c r="H10">
        <v>3</v>
      </c>
      <c r="I10">
        <v>249.99</v>
      </c>
      <c r="J10" t="str">
        <v>Credit Card</v>
      </c>
      <c r="K10" t="str">
        <v>North</v>
      </c>
      <c r="L10" t="str">
        <v>Premium</v>
      </c>
      <c r="M10">
        <v>45224</v>
      </c>
      <c r="N10">
        <v>749.97</v>
      </c>
    </row>
    <row r="11" spans="1:14" x14ac:dyDescent="0.3">
      <c r="A11" t="str">
        <v>TRX0231</v>
      </c>
      <c r="B11">
        <v>45412</v>
      </c>
      <c r="C11" t="str">
        <v>CUST018</v>
      </c>
      <c r="D11" t="str">
        <v>Barbara Young</v>
      </c>
      <c r="E11" t="str">
        <v>P002</v>
      </c>
      <c r="F11" t="str">
        <v>Smartphone</v>
      </c>
      <c r="G11" t="str">
        <v>Electronics</v>
      </c>
      <c r="H11">
        <v>5</v>
      </c>
      <c r="I11">
        <v>699.99</v>
      </c>
      <c r="J11" t="str">
        <v>Cash</v>
      </c>
      <c r="K11" t="str">
        <v>West</v>
      </c>
      <c r="L11" t="str">
        <v>Basic</v>
      </c>
      <c r="M11">
        <v>45167</v>
      </c>
      <c r="N11">
        <v>3499.95</v>
      </c>
    </row>
    <row r="12" spans="1:14" x14ac:dyDescent="0.3">
      <c r="A12" t="str">
        <v>TRX0239</v>
      </c>
      <c r="B12">
        <v>45413</v>
      </c>
      <c r="C12" t="str">
        <v>CUST012</v>
      </c>
      <c r="D12" t="str">
        <v>Patricia Moore</v>
      </c>
      <c r="E12" t="str">
        <v>P002</v>
      </c>
      <c r="F12" t="str">
        <v>Smartphone</v>
      </c>
      <c r="G12" t="str">
        <v>Electronics</v>
      </c>
      <c r="H12">
        <v>4</v>
      </c>
      <c r="I12">
        <v>699.99</v>
      </c>
      <c r="J12" t="str">
        <v>Cash</v>
      </c>
      <c r="K12" t="str">
        <v>East</v>
      </c>
      <c r="L12" t="str">
        <v>Standard</v>
      </c>
      <c r="M12">
        <v>44409</v>
      </c>
      <c r="N12">
        <v>2799.96</v>
      </c>
    </row>
    <row r="13" spans="1:14" x14ac:dyDescent="0.3">
      <c r="A13" t="str">
        <v>TRX0204</v>
      </c>
      <c r="B13">
        <v>45415</v>
      </c>
      <c r="C13" t="str">
        <v>CUST044</v>
      </c>
      <c r="D13" t="str">
        <v>Cynthia Price</v>
      </c>
      <c r="E13" t="str">
        <v>P009</v>
      </c>
      <c r="F13" t="str">
        <v>Monitor</v>
      </c>
      <c r="G13" t="str">
        <v>Electronics</v>
      </c>
      <c r="H13">
        <v>4</v>
      </c>
      <c r="I13">
        <v>249.99</v>
      </c>
      <c r="J13" t="str">
        <v>PayPal</v>
      </c>
      <c r="K13" t="str">
        <v>North</v>
      </c>
      <c r="L13" t="str">
        <v>Standard</v>
      </c>
      <c r="M13">
        <v>44468</v>
      </c>
      <c r="N13">
        <v>999.96</v>
      </c>
    </row>
    <row r="14" spans="1:14" x14ac:dyDescent="0.3">
      <c r="A14" t="str">
        <v>TRX0071</v>
      </c>
      <c r="B14">
        <v>45422</v>
      </c>
      <c r="C14" t="str">
        <v>CUST036</v>
      </c>
      <c r="D14" t="str">
        <v>Nancy Collins</v>
      </c>
      <c r="E14" t="str">
        <v>P009</v>
      </c>
      <c r="F14" t="str">
        <v>Monitor</v>
      </c>
      <c r="G14" t="str">
        <v>Electronics</v>
      </c>
      <c r="H14">
        <v>5</v>
      </c>
      <c r="I14">
        <v>249.99</v>
      </c>
      <c r="J14" t="str">
        <v>Credit Card</v>
      </c>
      <c r="K14" t="str">
        <v>West</v>
      </c>
      <c r="L14" t="str">
        <v>Standard</v>
      </c>
      <c r="M14">
        <v>44525</v>
      </c>
      <c r="N14">
        <v>1249.95</v>
      </c>
    </row>
    <row r="15" spans="1:14" x14ac:dyDescent="0.3">
      <c r="A15" t="str">
        <v>TRX0004</v>
      </c>
      <c r="B15">
        <v>45424</v>
      </c>
      <c r="C15" t="str">
        <v>CUST012</v>
      </c>
      <c r="D15" t="str">
        <v>Patricia Moore</v>
      </c>
      <c r="E15" t="str">
        <v>P010</v>
      </c>
      <c r="F15" t="str">
        <v>Keyboard</v>
      </c>
      <c r="G15" t="str">
        <v>Electronics</v>
      </c>
      <c r="H15">
        <v>5</v>
      </c>
      <c r="I15">
        <v>89.99</v>
      </c>
      <c r="J15" t="str">
        <v>Cash</v>
      </c>
      <c r="K15" t="str">
        <v>North</v>
      </c>
      <c r="L15" t="str">
        <v>Premium</v>
      </c>
      <c r="M15">
        <v>44919</v>
      </c>
      <c r="N15">
        <v>449.95</v>
      </c>
    </row>
    <row r="16" spans="1:14" x14ac:dyDescent="0.3">
      <c r="A16" t="str">
        <v>TRX0041</v>
      </c>
      <c r="B16">
        <v>45432</v>
      </c>
      <c r="C16" t="str">
        <v>CUST021</v>
      </c>
      <c r="D16" t="str">
        <v>Kevin Scott</v>
      </c>
      <c r="E16" t="str">
        <v>P001</v>
      </c>
      <c r="F16" t="str">
        <v>Laptop</v>
      </c>
      <c r="G16" t="str">
        <v>Electronics</v>
      </c>
      <c r="H16">
        <v>1</v>
      </c>
      <c r="I16">
        <v>899.99</v>
      </c>
      <c r="J16" t="str">
        <v>Credit Card</v>
      </c>
      <c r="K16" t="str">
        <v>West</v>
      </c>
      <c r="L16" t="str">
        <v>Premium</v>
      </c>
      <c r="M16">
        <v>44578</v>
      </c>
      <c r="N16">
        <v>899.99</v>
      </c>
    </row>
    <row r="17" spans="1:14" x14ac:dyDescent="0.3">
      <c r="A17" t="str">
        <v>TRX0015</v>
      </c>
      <c r="B17">
        <v>45440</v>
      </c>
      <c r="C17" t="str">
        <v>CUST008</v>
      </c>
      <c r="D17" t="str">
        <v>Jennifer Taylor</v>
      </c>
      <c r="E17" t="str">
        <v>P002</v>
      </c>
      <c r="F17" t="str">
        <v>Smartphone</v>
      </c>
      <c r="G17" t="str">
        <v>Electronics</v>
      </c>
      <c r="H17">
        <v>5</v>
      </c>
      <c r="I17">
        <v>699.99</v>
      </c>
      <c r="J17" t="str">
        <v>PayPal</v>
      </c>
      <c r="K17" t="str">
        <v>West</v>
      </c>
      <c r="L17" t="str">
        <v>Standard</v>
      </c>
      <c r="M17">
        <v>44407</v>
      </c>
      <c r="N17">
        <v>3499.95</v>
      </c>
    </row>
    <row r="18" spans="1:14" x14ac:dyDescent="0.3">
      <c r="A18" t="str">
        <v>TRX0202</v>
      </c>
      <c r="B18">
        <v>45441</v>
      </c>
      <c r="C18" t="str">
        <v>CUST035</v>
      </c>
      <c r="D18" t="str">
        <v>Harry Morgan</v>
      </c>
      <c r="E18" t="str">
        <v>P010</v>
      </c>
      <c r="F18" t="str">
        <v>Keyboard</v>
      </c>
      <c r="G18" t="str">
        <v>Electronics</v>
      </c>
      <c r="H18">
        <v>3</v>
      </c>
      <c r="I18">
        <v>89.99</v>
      </c>
      <c r="J18" t="str">
        <v>PayPal</v>
      </c>
      <c r="K18" t="str">
        <v>Central</v>
      </c>
      <c r="L18" t="str">
        <v>Premium</v>
      </c>
      <c r="M18">
        <v>45120</v>
      </c>
      <c r="N18">
        <v>269.97000000000003</v>
      </c>
    </row>
    <row r="19" spans="1:14" x14ac:dyDescent="0.3">
      <c r="A19" t="str">
        <v>TRX0117</v>
      </c>
      <c r="B19">
        <v>45444</v>
      </c>
      <c r="C19" t="str">
        <v>CUST017</v>
      </c>
      <c r="D19" t="str">
        <v>Charles Allen</v>
      </c>
      <c r="E19" t="str">
        <v>P010</v>
      </c>
      <c r="F19" t="str">
        <v>Keyboard</v>
      </c>
      <c r="G19" t="str">
        <v>Electronics</v>
      </c>
      <c r="H19">
        <v>1</v>
      </c>
      <c r="I19">
        <v>89.99</v>
      </c>
      <c r="J19" t="str">
        <v>Cash</v>
      </c>
      <c r="K19" t="str">
        <v>North</v>
      </c>
      <c r="L19" t="str">
        <v>Basic</v>
      </c>
      <c r="M19">
        <v>45141</v>
      </c>
      <c r="N19">
        <v>89.99</v>
      </c>
    </row>
    <row r="20" spans="1:14" x14ac:dyDescent="0.3">
      <c r="A20" t="str">
        <v>TRX0208</v>
      </c>
      <c r="B20">
        <v>45446</v>
      </c>
      <c r="C20" t="str">
        <v>CUST004</v>
      </c>
      <c r="D20" t="str">
        <v>Sarah Davis</v>
      </c>
      <c r="E20" t="str">
        <v>P010</v>
      </c>
      <c r="F20" t="str">
        <v>Keyboard</v>
      </c>
      <c r="G20" t="str">
        <v>Electronics</v>
      </c>
      <c r="H20">
        <v>5</v>
      </c>
      <c r="I20">
        <v>89.99</v>
      </c>
      <c r="J20" t="str">
        <v>Credit Card</v>
      </c>
      <c r="K20" t="str">
        <v>East</v>
      </c>
      <c r="L20" t="str">
        <v>Standard</v>
      </c>
      <c r="M20">
        <v>44587</v>
      </c>
      <c r="N20">
        <v>449.95</v>
      </c>
    </row>
    <row r="21" spans="1:14" x14ac:dyDescent="0.3">
      <c r="A21" t="str">
        <v>TRX0234</v>
      </c>
      <c r="B21">
        <v>45449</v>
      </c>
      <c r="C21" t="str">
        <v>CUST013</v>
      </c>
      <c r="D21" t="str">
        <v>Joseph Jackson</v>
      </c>
      <c r="E21" t="str">
        <v>P009</v>
      </c>
      <c r="F21" t="str">
        <v>Monitor</v>
      </c>
      <c r="G21" t="str">
        <v>Electronics</v>
      </c>
      <c r="H21">
        <v>5</v>
      </c>
      <c r="I21">
        <v>249.99</v>
      </c>
      <c r="J21" t="str">
        <v>Credit Card</v>
      </c>
      <c r="K21" t="str">
        <v>East</v>
      </c>
      <c r="L21" t="str">
        <v>Standard</v>
      </c>
      <c r="M21">
        <v>44707</v>
      </c>
      <c r="N21">
        <v>1249.95</v>
      </c>
    </row>
    <row r="22" spans="1:14" x14ac:dyDescent="0.3">
      <c r="A22" t="str">
        <v>TRX0121</v>
      </c>
      <c r="B22">
        <v>45449</v>
      </c>
      <c r="C22" t="str">
        <v>CUST028</v>
      </c>
      <c r="D22" t="str">
        <v>Betty Campbell</v>
      </c>
      <c r="E22" t="str">
        <v>P010</v>
      </c>
      <c r="F22" t="str">
        <v>Keyboard</v>
      </c>
      <c r="G22" t="str">
        <v>Electronics</v>
      </c>
      <c r="H22">
        <v>1</v>
      </c>
      <c r="I22">
        <v>89.99</v>
      </c>
      <c r="J22" t="str">
        <v>Credit Card</v>
      </c>
      <c r="K22" t="str">
        <v>South</v>
      </c>
      <c r="L22" t="str">
        <v>Standard</v>
      </c>
      <c r="M22">
        <v>44582</v>
      </c>
      <c r="N22">
        <v>89.99</v>
      </c>
    </row>
    <row r="23" spans="1:14" x14ac:dyDescent="0.3">
      <c r="A23" t="str">
        <v>TRX0088</v>
      </c>
      <c r="B23">
        <v>45456</v>
      </c>
      <c r="C23" t="str">
        <v>CUST006</v>
      </c>
      <c r="D23" t="str">
        <v>Lisa Anderson</v>
      </c>
      <c r="E23" t="str">
        <v>P010</v>
      </c>
      <c r="F23" t="str">
        <v>Keyboard</v>
      </c>
      <c r="G23" t="str">
        <v>Electronics</v>
      </c>
      <c r="H23">
        <v>5</v>
      </c>
      <c r="I23">
        <v>89.99</v>
      </c>
      <c r="J23" t="str">
        <v>Cash</v>
      </c>
      <c r="K23" t="str">
        <v>Central</v>
      </c>
      <c r="L23" t="str">
        <v>Premium</v>
      </c>
      <c r="M23">
        <v>44579</v>
      </c>
      <c r="N23">
        <v>449.95</v>
      </c>
    </row>
    <row r="24" spans="1:14" x14ac:dyDescent="0.3">
      <c r="A24" t="str">
        <v>TRX0115</v>
      </c>
      <c r="B24">
        <v>45459</v>
      </c>
      <c r="C24" t="str">
        <v>CUST012</v>
      </c>
      <c r="D24" t="str">
        <v>Patricia Moore</v>
      </c>
      <c r="E24" t="str">
        <v>P010</v>
      </c>
      <c r="F24" t="str">
        <v>Keyboard</v>
      </c>
      <c r="G24" t="str">
        <v>Electronics</v>
      </c>
      <c r="H24">
        <v>2</v>
      </c>
      <c r="I24">
        <v>89.99</v>
      </c>
      <c r="J24" t="str">
        <v>Credit Card</v>
      </c>
      <c r="K24" t="str">
        <v>South</v>
      </c>
      <c r="L24" t="str">
        <v>Premium</v>
      </c>
      <c r="M24">
        <v>44471</v>
      </c>
      <c r="N24">
        <v>179.98</v>
      </c>
    </row>
    <row r="25" spans="1:14" x14ac:dyDescent="0.3">
      <c r="A25" t="str">
        <v>TRX0154</v>
      </c>
      <c r="B25">
        <v>45459</v>
      </c>
      <c r="C25" t="str">
        <v>CUST023</v>
      </c>
      <c r="D25" t="str">
        <v>Paul Baker</v>
      </c>
      <c r="E25" t="str">
        <v>P001</v>
      </c>
      <c r="F25" t="str">
        <v>Laptop</v>
      </c>
      <c r="G25" t="str">
        <v>Electronics</v>
      </c>
      <c r="H25">
        <v>5</v>
      </c>
      <c r="I25">
        <v>899.99</v>
      </c>
      <c r="J25" t="str">
        <v>Credit Card</v>
      </c>
      <c r="K25" t="str">
        <v>South</v>
      </c>
      <c r="L25" t="str">
        <v>Standard</v>
      </c>
      <c r="M25">
        <v>44974</v>
      </c>
      <c r="N25">
        <v>4499.95</v>
      </c>
    </row>
    <row r="26" spans="1:14" x14ac:dyDescent="0.3">
      <c r="A26" t="str">
        <v>TRX0044</v>
      </c>
      <c r="B26">
        <v>45459</v>
      </c>
      <c r="C26" t="str">
        <v>CUST029</v>
      </c>
      <c r="D26" t="str">
        <v>Edward Mitchell</v>
      </c>
      <c r="E26" t="str">
        <v>P001</v>
      </c>
      <c r="F26" t="str">
        <v>Laptop</v>
      </c>
      <c r="G26" t="str">
        <v>Electronics</v>
      </c>
      <c r="H26">
        <v>5</v>
      </c>
      <c r="I26">
        <v>899.99</v>
      </c>
      <c r="J26" t="str">
        <v>PayPal</v>
      </c>
      <c r="K26" t="str">
        <v>East</v>
      </c>
      <c r="L26" t="str">
        <v>Premium</v>
      </c>
      <c r="M26">
        <v>45278</v>
      </c>
      <c r="N26">
        <v>4499.95</v>
      </c>
    </row>
    <row r="27" spans="1:14" x14ac:dyDescent="0.3">
      <c r="A27" t="str">
        <v>TRX0025</v>
      </c>
      <c r="B27">
        <v>45468</v>
      </c>
      <c r="C27" t="str">
        <v>CUST049</v>
      </c>
      <c r="D27" t="str">
        <v>Raymond Ross</v>
      </c>
      <c r="E27" t="str">
        <v>P010</v>
      </c>
      <c r="F27" t="str">
        <v>Keyboard</v>
      </c>
      <c r="G27" t="str">
        <v>Electronics</v>
      </c>
      <c r="H27">
        <v>4</v>
      </c>
      <c r="I27">
        <v>89.99</v>
      </c>
      <c r="J27" t="str">
        <v>Debit Card</v>
      </c>
      <c r="K27" t="str">
        <v>South</v>
      </c>
      <c r="L27" t="str">
        <v>Basic</v>
      </c>
      <c r="M27">
        <v>45281</v>
      </c>
      <c r="N27">
        <v>359.96</v>
      </c>
    </row>
    <row r="28" spans="1:14" x14ac:dyDescent="0.3">
      <c r="A28" t="str">
        <v>TRX0007</v>
      </c>
      <c r="B28">
        <v>45469</v>
      </c>
      <c r="C28" t="str">
        <v>CUST009</v>
      </c>
      <c r="D28" t="str">
        <v>Robert Thomas</v>
      </c>
      <c r="E28" t="str">
        <v>P010</v>
      </c>
      <c r="F28" t="str">
        <v>Keyboard</v>
      </c>
      <c r="G28" t="str">
        <v>Electronics</v>
      </c>
      <c r="H28">
        <v>2</v>
      </c>
      <c r="I28">
        <v>89.99</v>
      </c>
      <c r="J28" t="str">
        <v>Cash</v>
      </c>
      <c r="K28" t="str">
        <v>West</v>
      </c>
      <c r="L28" t="str">
        <v>Basic</v>
      </c>
      <c r="M28">
        <v>44438</v>
      </c>
      <c r="N28">
        <v>179.98</v>
      </c>
    </row>
    <row r="29" spans="1:14" x14ac:dyDescent="0.3">
      <c r="A29" t="str">
        <v>TRX0184</v>
      </c>
      <c r="B29">
        <v>45471</v>
      </c>
      <c r="C29" t="str">
        <v>CUST046</v>
      </c>
      <c r="D29" t="str">
        <v>Kathleen Bennett</v>
      </c>
      <c r="E29" t="str">
        <v>P002</v>
      </c>
      <c r="F29" t="str">
        <v>Smartphone</v>
      </c>
      <c r="G29" t="str">
        <v>Electronics</v>
      </c>
      <c r="H29">
        <v>3</v>
      </c>
      <c r="I29">
        <v>699.99</v>
      </c>
      <c r="J29" t="str">
        <v>Credit Card</v>
      </c>
      <c r="K29" t="str">
        <v>East</v>
      </c>
      <c r="L29" t="str">
        <v>Premium</v>
      </c>
      <c r="M29">
        <v>45102</v>
      </c>
      <c r="N29">
        <v>2099.9699999999998</v>
      </c>
    </row>
    <row r="30" spans="1:14" x14ac:dyDescent="0.3">
      <c r="A30" t="str">
        <v>TRX0104</v>
      </c>
      <c r="B30">
        <v>45471</v>
      </c>
      <c r="C30" t="str">
        <v>CUST012</v>
      </c>
      <c r="D30" t="str">
        <v>Patricia Moore</v>
      </c>
      <c r="E30" t="str">
        <v>P001</v>
      </c>
      <c r="F30" t="str">
        <v>Laptop</v>
      </c>
      <c r="G30" t="str">
        <v>Electronics</v>
      </c>
      <c r="H30">
        <v>4</v>
      </c>
      <c r="I30">
        <v>899.99</v>
      </c>
      <c r="J30" t="str">
        <v>Credit Card</v>
      </c>
      <c r="K30" t="str">
        <v>East</v>
      </c>
      <c r="L30" t="str">
        <v>Premium</v>
      </c>
      <c r="M30">
        <v>44993</v>
      </c>
      <c r="N30">
        <v>3599.96</v>
      </c>
    </row>
    <row r="31" spans="1:14" x14ac:dyDescent="0.3">
      <c r="A31" t="str">
        <v>TRX0096</v>
      </c>
      <c r="B31">
        <v>45474</v>
      </c>
      <c r="C31" t="str">
        <v>CUST002</v>
      </c>
      <c r="D31" t="str">
        <v>Emma Wilson</v>
      </c>
      <c r="E31" t="str">
        <v>P010</v>
      </c>
      <c r="F31" t="str">
        <v>Keyboard</v>
      </c>
      <c r="G31" t="str">
        <v>Electronics</v>
      </c>
      <c r="H31">
        <v>2</v>
      </c>
      <c r="I31">
        <v>89.99</v>
      </c>
      <c r="J31" t="str">
        <v>PayPal</v>
      </c>
      <c r="K31" t="str">
        <v>Central</v>
      </c>
      <c r="L31" t="str">
        <v>Premium</v>
      </c>
      <c r="M31">
        <v>45275</v>
      </c>
      <c r="N31">
        <v>179.98</v>
      </c>
    </row>
    <row r="32" spans="1:14" x14ac:dyDescent="0.3">
      <c r="A32" t="str">
        <v>TRX0192</v>
      </c>
      <c r="B32">
        <v>45475</v>
      </c>
      <c r="C32" t="str">
        <v>CUST017</v>
      </c>
      <c r="D32" t="str">
        <v>Charles Allen</v>
      </c>
      <c r="E32" t="str">
        <v>P010</v>
      </c>
      <c r="F32" t="str">
        <v>Keyboard</v>
      </c>
      <c r="G32" t="str">
        <v>Electronics</v>
      </c>
      <c r="H32">
        <v>1</v>
      </c>
      <c r="I32">
        <v>89.99</v>
      </c>
      <c r="J32" t="str">
        <v>PayPal</v>
      </c>
      <c r="K32" t="str">
        <v>West</v>
      </c>
      <c r="L32" t="str">
        <v>Standard</v>
      </c>
      <c r="M32">
        <v>44802</v>
      </c>
      <c r="N32">
        <v>89.99</v>
      </c>
    </row>
    <row r="33" spans="1:14" x14ac:dyDescent="0.3">
      <c r="A33" t="str">
        <v>TRX0052</v>
      </c>
      <c r="B33">
        <v>45476</v>
      </c>
      <c r="C33" t="str">
        <v>CUST022</v>
      </c>
      <c r="D33" t="str">
        <v>Susan Green</v>
      </c>
      <c r="E33" t="str">
        <v>P010</v>
      </c>
      <c r="F33" t="str">
        <v>Keyboard</v>
      </c>
      <c r="G33" t="str">
        <v>Electronics</v>
      </c>
      <c r="H33">
        <v>1</v>
      </c>
      <c r="I33">
        <v>89.99</v>
      </c>
      <c r="J33" t="str">
        <v>Cash</v>
      </c>
      <c r="K33" t="str">
        <v>South</v>
      </c>
      <c r="L33" t="str">
        <v>Standard</v>
      </c>
      <c r="M33">
        <v>44611</v>
      </c>
      <c r="N33">
        <v>89.99</v>
      </c>
    </row>
    <row r="34" spans="1:14" x14ac:dyDescent="0.3">
      <c r="A34" t="str">
        <v>TRX0113</v>
      </c>
      <c r="B34">
        <v>45481</v>
      </c>
      <c r="C34" t="str">
        <v>CUST003</v>
      </c>
      <c r="D34" t="str">
        <v>Michael Brown</v>
      </c>
      <c r="E34" t="str">
        <v>P002</v>
      </c>
      <c r="F34" t="str">
        <v>Smartphone</v>
      </c>
      <c r="G34" t="str">
        <v>Electronics</v>
      </c>
      <c r="H34">
        <v>2</v>
      </c>
      <c r="I34">
        <v>699.99</v>
      </c>
      <c r="J34" t="str">
        <v>PayPal</v>
      </c>
      <c r="K34" t="str">
        <v>East</v>
      </c>
      <c r="L34" t="str">
        <v>Premium</v>
      </c>
      <c r="M34">
        <v>45389</v>
      </c>
      <c r="N34">
        <v>1399.98</v>
      </c>
    </row>
    <row r="35" spans="1:14" x14ac:dyDescent="0.3">
      <c r="A35" t="str">
        <v>TRX0114</v>
      </c>
      <c r="B35">
        <v>45481</v>
      </c>
      <c r="C35" t="str">
        <v>CUST018</v>
      </c>
      <c r="D35" t="str">
        <v>Barbara Young</v>
      </c>
      <c r="E35" t="str">
        <v>P010</v>
      </c>
      <c r="F35" t="str">
        <v>Keyboard</v>
      </c>
      <c r="G35" t="str">
        <v>Electronics</v>
      </c>
      <c r="H35">
        <v>5</v>
      </c>
      <c r="I35">
        <v>89.99</v>
      </c>
      <c r="J35" t="str">
        <v>Debit Card</v>
      </c>
      <c r="K35" t="str">
        <v>North</v>
      </c>
      <c r="L35" t="str">
        <v>Premium</v>
      </c>
      <c r="M35">
        <v>45161</v>
      </c>
      <c r="N35">
        <v>449.95</v>
      </c>
    </row>
    <row r="36" spans="1:14" x14ac:dyDescent="0.3">
      <c r="A36" t="str">
        <v>TRX0018</v>
      </c>
      <c r="B36">
        <v>45484</v>
      </c>
      <c r="C36" t="str">
        <v>CUST013</v>
      </c>
      <c r="D36" t="str">
        <v>Joseph Jackson</v>
      </c>
      <c r="E36" t="str">
        <v>P003</v>
      </c>
      <c r="F36" t="str">
        <v>Headphones</v>
      </c>
      <c r="G36" t="str">
        <v>Electronics</v>
      </c>
      <c r="H36">
        <v>1</v>
      </c>
      <c r="I36">
        <v>149.99</v>
      </c>
      <c r="J36" t="str">
        <v>Cash</v>
      </c>
      <c r="K36" t="str">
        <v>Central</v>
      </c>
      <c r="L36" t="str">
        <v>Standard</v>
      </c>
      <c r="M36">
        <v>44909</v>
      </c>
      <c r="N36">
        <v>149.99</v>
      </c>
    </row>
    <row r="37" spans="1:14" x14ac:dyDescent="0.3">
      <c r="A37" t="str">
        <v>TRX0162</v>
      </c>
      <c r="B37">
        <v>45496</v>
      </c>
      <c r="C37" t="str">
        <v>CUST040</v>
      </c>
      <c r="D37" t="str">
        <v>Sharon Butler</v>
      </c>
      <c r="E37" t="str">
        <v>P001</v>
      </c>
      <c r="F37" t="str">
        <v>Laptop</v>
      </c>
      <c r="G37" t="str">
        <v>Electronics</v>
      </c>
      <c r="H37">
        <v>1</v>
      </c>
      <c r="I37">
        <v>899.99</v>
      </c>
      <c r="J37" t="str">
        <v>Cash</v>
      </c>
      <c r="K37" t="str">
        <v>Central</v>
      </c>
      <c r="L37" t="str">
        <v>Standard</v>
      </c>
      <c r="M37">
        <v>45179</v>
      </c>
      <c r="N37">
        <v>899.99</v>
      </c>
    </row>
    <row r="38" spans="1:14" x14ac:dyDescent="0.3">
      <c r="A38" t="str">
        <v>TRX0244</v>
      </c>
      <c r="B38">
        <v>45497</v>
      </c>
      <c r="C38" t="str">
        <v>CUST013</v>
      </c>
      <c r="D38" t="str">
        <v>Joseph Jackson</v>
      </c>
      <c r="E38" t="str">
        <v>P001</v>
      </c>
      <c r="F38" t="str">
        <v>Laptop</v>
      </c>
      <c r="G38" t="str">
        <v>Electronics</v>
      </c>
      <c r="H38">
        <v>5</v>
      </c>
      <c r="I38">
        <v>899.99</v>
      </c>
      <c r="J38" t="str">
        <v>Debit Card</v>
      </c>
      <c r="K38" t="str">
        <v>South</v>
      </c>
      <c r="L38" t="str">
        <v>Standard</v>
      </c>
      <c r="M38">
        <v>44899</v>
      </c>
      <c r="N38">
        <v>4499.95</v>
      </c>
    </row>
    <row r="39" spans="1:14" x14ac:dyDescent="0.3">
      <c r="A39" t="str">
        <v>TRX0215</v>
      </c>
      <c r="B39">
        <v>45498</v>
      </c>
      <c r="C39" t="str">
        <v>CUST047</v>
      </c>
      <c r="D39" t="str">
        <v>Gerald Murphy</v>
      </c>
      <c r="E39" t="str">
        <v>P009</v>
      </c>
      <c r="F39" t="str">
        <v>Monitor</v>
      </c>
      <c r="G39" t="str">
        <v>Electronics</v>
      </c>
      <c r="H39">
        <v>4</v>
      </c>
      <c r="I39">
        <v>249.99</v>
      </c>
      <c r="J39" t="str">
        <v>Debit Card</v>
      </c>
      <c r="K39" t="str">
        <v>Central</v>
      </c>
      <c r="L39" t="str">
        <v>Standard</v>
      </c>
      <c r="M39">
        <v>45127</v>
      </c>
      <c r="N39">
        <v>999.96</v>
      </c>
    </row>
    <row r="40" spans="1:14" x14ac:dyDescent="0.3">
      <c r="A40" t="str">
        <v>TRX0080</v>
      </c>
      <c r="B40">
        <v>45500</v>
      </c>
      <c r="C40" t="str">
        <v>CUST018</v>
      </c>
      <c r="D40" t="str">
        <v>Barbara Young</v>
      </c>
      <c r="E40" t="str">
        <v>P009</v>
      </c>
      <c r="F40" t="str">
        <v>Monitor</v>
      </c>
      <c r="G40" t="str">
        <v>Electronics</v>
      </c>
      <c r="H40">
        <v>2</v>
      </c>
      <c r="I40">
        <v>249.99</v>
      </c>
      <c r="J40" t="str">
        <v>Cash</v>
      </c>
      <c r="K40" t="str">
        <v>North</v>
      </c>
      <c r="L40" t="str">
        <v>Premium</v>
      </c>
      <c r="M40">
        <v>45164</v>
      </c>
      <c r="N40">
        <v>499.98</v>
      </c>
    </row>
    <row r="41" spans="1:14" x14ac:dyDescent="0.3">
      <c r="A41" t="str">
        <v>TRX0157</v>
      </c>
      <c r="B41">
        <v>45501</v>
      </c>
      <c r="C41" t="str">
        <v>CUST025</v>
      </c>
      <c r="D41" t="str">
        <v>Mark Carter</v>
      </c>
      <c r="E41" t="str">
        <v>P010</v>
      </c>
      <c r="F41" t="str">
        <v>Keyboard</v>
      </c>
      <c r="G41" t="str">
        <v>Electronics</v>
      </c>
      <c r="H41">
        <v>2</v>
      </c>
      <c r="I41">
        <v>89.99</v>
      </c>
      <c r="J41" t="str">
        <v>PayPal</v>
      </c>
      <c r="K41" t="str">
        <v>South</v>
      </c>
      <c r="L41" t="str">
        <v>Basic</v>
      </c>
      <c r="M41">
        <v>44976</v>
      </c>
      <c r="N41">
        <v>179.98</v>
      </c>
    </row>
    <row r="42" spans="1:14" x14ac:dyDescent="0.3">
      <c r="A42" t="str">
        <v>TRX0217</v>
      </c>
      <c r="B42">
        <v>45503</v>
      </c>
      <c r="C42" t="str">
        <v>CUST025</v>
      </c>
      <c r="D42" t="str">
        <v>Mark Carter</v>
      </c>
      <c r="E42" t="str">
        <v>P002</v>
      </c>
      <c r="F42" t="str">
        <v>Smartphone</v>
      </c>
      <c r="G42" t="str">
        <v>Electronics</v>
      </c>
      <c r="H42">
        <v>2</v>
      </c>
      <c r="I42">
        <v>699.99</v>
      </c>
      <c r="J42" t="str">
        <v>Credit Card</v>
      </c>
      <c r="K42" t="str">
        <v>North</v>
      </c>
      <c r="L42" t="str">
        <v>Premium</v>
      </c>
      <c r="M42">
        <v>44999</v>
      </c>
      <c r="N42">
        <v>1399.98</v>
      </c>
    </row>
    <row r="43" spans="1:14" x14ac:dyDescent="0.3">
      <c r="A43" t="str">
        <v>TRX0249</v>
      </c>
      <c r="B43">
        <v>45504</v>
      </c>
      <c r="C43" t="str">
        <v>CUST030</v>
      </c>
      <c r="D43" t="str">
        <v>Helen Roberts</v>
      </c>
      <c r="E43" t="str">
        <v>P001</v>
      </c>
      <c r="F43" t="str">
        <v>Laptop</v>
      </c>
      <c r="G43" t="str">
        <v>Electronics</v>
      </c>
      <c r="H43">
        <v>4</v>
      </c>
      <c r="I43">
        <v>899.99</v>
      </c>
      <c r="J43" t="str">
        <v>Debit Card</v>
      </c>
      <c r="K43" t="str">
        <v>South</v>
      </c>
      <c r="L43" t="str">
        <v>Standard</v>
      </c>
      <c r="M43">
        <v>44523</v>
      </c>
      <c r="N43">
        <v>3599.96</v>
      </c>
    </row>
    <row r="44" spans="1:14" x14ac:dyDescent="0.3">
      <c r="A44" t="str">
        <v>TRX0101</v>
      </c>
      <c r="B44">
        <v>45513</v>
      </c>
      <c r="C44" t="str">
        <v>CUST010</v>
      </c>
      <c r="D44" t="str">
        <v>Maria Garcia</v>
      </c>
      <c r="E44" t="str">
        <v>P010</v>
      </c>
      <c r="F44" t="str">
        <v>Keyboard</v>
      </c>
      <c r="G44" t="str">
        <v>Electronics</v>
      </c>
      <c r="H44">
        <v>1</v>
      </c>
      <c r="I44">
        <v>89.99</v>
      </c>
      <c r="J44" t="str">
        <v>Credit Card</v>
      </c>
      <c r="K44" t="str">
        <v>North</v>
      </c>
      <c r="L44" t="str">
        <v>Standard</v>
      </c>
      <c r="M44">
        <v>45393</v>
      </c>
      <c r="N44">
        <v>89.99</v>
      </c>
    </row>
    <row r="45" spans="1:14" x14ac:dyDescent="0.3">
      <c r="A45" t="str">
        <v>TRX0020</v>
      </c>
      <c r="B45">
        <v>45517</v>
      </c>
      <c r="C45" t="str">
        <v>CUST007</v>
      </c>
      <c r="D45" t="str">
        <v>David Martinez</v>
      </c>
      <c r="E45" t="str">
        <v>P003</v>
      </c>
      <c r="F45" t="str">
        <v>Headphones</v>
      </c>
      <c r="G45" t="str">
        <v>Electronics</v>
      </c>
      <c r="H45">
        <v>4</v>
      </c>
      <c r="I45">
        <v>149.99</v>
      </c>
      <c r="J45" t="str">
        <v>Debit Card</v>
      </c>
      <c r="K45" t="str">
        <v>South</v>
      </c>
      <c r="L45" t="str">
        <v>Premium</v>
      </c>
      <c r="M45">
        <v>44820</v>
      </c>
      <c r="N45">
        <v>599.96</v>
      </c>
    </row>
    <row r="46" spans="1:14" x14ac:dyDescent="0.3">
      <c r="A46" t="str">
        <v>TRX0075</v>
      </c>
      <c r="B46">
        <v>45517</v>
      </c>
      <c r="C46" t="str">
        <v>CUST020</v>
      </c>
      <c r="D46" t="str">
        <v>Margaret Wright</v>
      </c>
      <c r="E46" t="str">
        <v>P009</v>
      </c>
      <c r="F46" t="str">
        <v>Monitor</v>
      </c>
      <c r="G46" t="str">
        <v>Electronics</v>
      </c>
      <c r="H46">
        <v>5</v>
      </c>
      <c r="I46">
        <v>249.99</v>
      </c>
      <c r="J46" t="str">
        <v>PayPal</v>
      </c>
      <c r="K46" t="str">
        <v>East</v>
      </c>
      <c r="L46" t="str">
        <v>Premium</v>
      </c>
      <c r="M46">
        <v>44782</v>
      </c>
      <c r="N46">
        <v>1249.95</v>
      </c>
    </row>
    <row r="47" spans="1:14" x14ac:dyDescent="0.3">
      <c r="A47" t="str">
        <v>TRX0098</v>
      </c>
      <c r="B47">
        <v>45517</v>
      </c>
      <c r="C47" t="str">
        <v>CUST026</v>
      </c>
      <c r="D47" t="str">
        <v>Karen Hill</v>
      </c>
      <c r="E47" t="str">
        <v>P009</v>
      </c>
      <c r="F47" t="str">
        <v>Monitor</v>
      </c>
      <c r="G47" t="str">
        <v>Electronics</v>
      </c>
      <c r="H47">
        <v>3</v>
      </c>
      <c r="I47">
        <v>249.99</v>
      </c>
      <c r="J47" t="str">
        <v>PayPal</v>
      </c>
      <c r="K47" t="str">
        <v>North</v>
      </c>
      <c r="L47" t="str">
        <v>Premium</v>
      </c>
      <c r="M47">
        <v>44465</v>
      </c>
      <c r="N47">
        <v>749.97</v>
      </c>
    </row>
    <row r="48" spans="1:14" x14ac:dyDescent="0.3">
      <c r="A48" t="str">
        <v>TRX0140</v>
      </c>
      <c r="B48">
        <v>45522</v>
      </c>
      <c r="C48" t="str">
        <v>CUST025</v>
      </c>
      <c r="D48" t="str">
        <v>Mark Carter</v>
      </c>
      <c r="E48" t="str">
        <v>P010</v>
      </c>
      <c r="F48" t="str">
        <v>Keyboard</v>
      </c>
      <c r="G48" t="str">
        <v>Electronics</v>
      </c>
      <c r="H48">
        <v>2</v>
      </c>
      <c r="I48">
        <v>89.99</v>
      </c>
      <c r="J48" t="str">
        <v>Cash</v>
      </c>
      <c r="K48" t="str">
        <v>East</v>
      </c>
      <c r="L48" t="str">
        <v>Premium</v>
      </c>
      <c r="M48">
        <v>44972</v>
      </c>
      <c r="N48">
        <v>179.98</v>
      </c>
    </row>
    <row r="49" spans="1:14" x14ac:dyDescent="0.3">
      <c r="A49" t="str">
        <v>TRX0132</v>
      </c>
      <c r="B49">
        <v>45523</v>
      </c>
      <c r="C49" t="str">
        <v>CUST047</v>
      </c>
      <c r="D49" t="str">
        <v>Gerald Murphy</v>
      </c>
      <c r="E49" t="str">
        <v>P001</v>
      </c>
      <c r="F49" t="str">
        <v>Laptop</v>
      </c>
      <c r="G49" t="str">
        <v>Electronics</v>
      </c>
      <c r="H49">
        <v>5</v>
      </c>
      <c r="I49">
        <v>899.99</v>
      </c>
      <c r="J49" t="str">
        <v>Debit Card</v>
      </c>
      <c r="K49" t="str">
        <v>East</v>
      </c>
      <c r="L49" t="str">
        <v>Basic</v>
      </c>
      <c r="M49">
        <v>44526</v>
      </c>
      <c r="N49">
        <v>4499.95</v>
      </c>
    </row>
    <row r="50" spans="1:14" x14ac:dyDescent="0.3">
      <c r="A50" t="str">
        <v>TRX0031</v>
      </c>
      <c r="B50">
        <v>45523</v>
      </c>
      <c r="C50" t="str">
        <v>CUST036</v>
      </c>
      <c r="D50" t="str">
        <v>Nancy Collins</v>
      </c>
      <c r="E50" t="str">
        <v>P003</v>
      </c>
      <c r="F50" t="str">
        <v>Headphones</v>
      </c>
      <c r="G50" t="str">
        <v>Electronics</v>
      </c>
      <c r="H50">
        <v>3</v>
      </c>
      <c r="I50">
        <v>149.99</v>
      </c>
      <c r="J50" t="str">
        <v>PayPal</v>
      </c>
      <c r="K50" t="str">
        <v>East</v>
      </c>
      <c r="L50" t="str">
        <v>Basic</v>
      </c>
      <c r="M50">
        <v>44574</v>
      </c>
      <c r="N50">
        <v>449.97</v>
      </c>
    </row>
    <row r="51" spans="1:14" x14ac:dyDescent="0.3">
      <c r="A51" t="str">
        <v>TRX0037</v>
      </c>
      <c r="B51">
        <v>45528</v>
      </c>
      <c r="C51" t="str">
        <v>CUST035</v>
      </c>
      <c r="D51" t="str">
        <v>Harry Morgan</v>
      </c>
      <c r="E51" t="str">
        <v>P009</v>
      </c>
      <c r="F51" t="str">
        <v>Monitor</v>
      </c>
      <c r="G51" t="str">
        <v>Electronics</v>
      </c>
      <c r="H51">
        <v>2</v>
      </c>
      <c r="I51">
        <v>249.99</v>
      </c>
      <c r="J51" t="str">
        <v>Cash</v>
      </c>
      <c r="K51" t="str">
        <v>South</v>
      </c>
      <c r="L51" t="str">
        <v>Standard</v>
      </c>
      <c r="M51">
        <v>44572</v>
      </c>
      <c r="N51">
        <v>499.98</v>
      </c>
    </row>
    <row r="52" spans="1:14" x14ac:dyDescent="0.3">
      <c r="A52" t="str">
        <v>TRX0058</v>
      </c>
      <c r="B52">
        <v>45532</v>
      </c>
      <c r="C52" t="str">
        <v>CUST047</v>
      </c>
      <c r="D52" t="str">
        <v>Gerald Murphy</v>
      </c>
      <c r="E52" t="str">
        <v>P002</v>
      </c>
      <c r="F52" t="str">
        <v>Smartphone</v>
      </c>
      <c r="G52" t="str">
        <v>Electronics</v>
      </c>
      <c r="H52">
        <v>1</v>
      </c>
      <c r="I52">
        <v>699.99</v>
      </c>
      <c r="J52" t="str">
        <v>Cash</v>
      </c>
      <c r="K52" t="str">
        <v>Central</v>
      </c>
      <c r="L52" t="str">
        <v>Premium</v>
      </c>
      <c r="M52">
        <v>44497</v>
      </c>
      <c r="N52">
        <v>699.99</v>
      </c>
    </row>
    <row r="53" spans="1:14" x14ac:dyDescent="0.3">
      <c r="A53" t="str">
        <v>TRX0170</v>
      </c>
      <c r="B53">
        <v>45532</v>
      </c>
      <c r="C53" t="str">
        <v>CUST034</v>
      </c>
      <c r="D53" t="str">
        <v>Carol Evans</v>
      </c>
      <c r="E53" t="str">
        <v>P003</v>
      </c>
      <c r="F53" t="str">
        <v>Headphones</v>
      </c>
      <c r="G53" t="str">
        <v>Electronics</v>
      </c>
      <c r="H53">
        <v>3</v>
      </c>
      <c r="I53">
        <v>149.99</v>
      </c>
      <c r="J53" t="str">
        <v>Cash</v>
      </c>
      <c r="K53" t="str">
        <v>West</v>
      </c>
      <c r="L53" t="str">
        <v>Premium</v>
      </c>
      <c r="M53">
        <v>45212</v>
      </c>
      <c r="N53">
        <v>449.97</v>
      </c>
    </row>
    <row r="54" spans="1:14" x14ac:dyDescent="0.3">
      <c r="A54" t="str">
        <v>TRX0248</v>
      </c>
      <c r="B54">
        <v>45534</v>
      </c>
      <c r="C54" t="str">
        <v>CUST032</v>
      </c>
      <c r="D54" t="str">
        <v>Sandra Phillips</v>
      </c>
      <c r="E54" t="str">
        <v>P002</v>
      </c>
      <c r="F54" t="str">
        <v>Smartphone</v>
      </c>
      <c r="G54" t="str">
        <v>Electronics</v>
      </c>
      <c r="H54">
        <v>2</v>
      </c>
      <c r="I54">
        <v>699.99</v>
      </c>
      <c r="J54" t="str">
        <v>Credit Card</v>
      </c>
      <c r="K54" t="str">
        <v>North</v>
      </c>
      <c r="L54" t="str">
        <v>Premium</v>
      </c>
      <c r="M54">
        <v>44421</v>
      </c>
      <c r="N54">
        <v>1399.98</v>
      </c>
    </row>
    <row r="55" spans="1:14" x14ac:dyDescent="0.3">
      <c r="A55" t="str">
        <v>TRX0099</v>
      </c>
      <c r="B55">
        <v>45537</v>
      </c>
      <c r="C55" t="str">
        <v>CUST034</v>
      </c>
      <c r="D55" t="str">
        <v>Carol Evans</v>
      </c>
      <c r="E55" t="str">
        <v>P009</v>
      </c>
      <c r="F55" t="str">
        <v>Monitor</v>
      </c>
      <c r="G55" t="str">
        <v>Electronics</v>
      </c>
      <c r="H55">
        <v>1</v>
      </c>
      <c r="I55">
        <v>249.99</v>
      </c>
      <c r="J55" t="str">
        <v>Credit Card</v>
      </c>
      <c r="K55" t="str">
        <v>West</v>
      </c>
      <c r="L55" t="str">
        <v>Premium</v>
      </c>
      <c r="M55">
        <v>44685</v>
      </c>
      <c r="N55">
        <v>249.99</v>
      </c>
    </row>
    <row r="56" spans="1:14" x14ac:dyDescent="0.3">
      <c r="A56" t="str">
        <v>TRX0074</v>
      </c>
      <c r="B56">
        <v>45537</v>
      </c>
      <c r="C56" t="str">
        <v>CUST023</v>
      </c>
      <c r="D56" t="str">
        <v>Paul Baker</v>
      </c>
      <c r="E56" t="str">
        <v>P009</v>
      </c>
      <c r="F56" t="str">
        <v>Monitor</v>
      </c>
      <c r="G56" t="str">
        <v>Electronics</v>
      </c>
      <c r="H56">
        <v>1</v>
      </c>
      <c r="I56">
        <v>249.99</v>
      </c>
      <c r="J56" t="str">
        <v>Debit Card</v>
      </c>
      <c r="K56" t="str">
        <v>North</v>
      </c>
      <c r="L56" t="str">
        <v>Premium</v>
      </c>
      <c r="M56">
        <v>45332</v>
      </c>
      <c r="N56">
        <v>249.99</v>
      </c>
    </row>
    <row r="57" spans="1:14" x14ac:dyDescent="0.3">
      <c r="A57" t="str">
        <v>TRX0225</v>
      </c>
      <c r="B57">
        <v>45538</v>
      </c>
      <c r="C57" t="str">
        <v>CUST039</v>
      </c>
      <c r="D57" t="str">
        <v>Lawrence Reed</v>
      </c>
      <c r="E57" t="str">
        <v>P002</v>
      </c>
      <c r="F57" t="str">
        <v>Smartphone</v>
      </c>
      <c r="G57" t="str">
        <v>Electronics</v>
      </c>
      <c r="H57">
        <v>2</v>
      </c>
      <c r="I57">
        <v>699.99</v>
      </c>
      <c r="J57" t="str">
        <v>Debit Card</v>
      </c>
      <c r="K57" t="str">
        <v>Central</v>
      </c>
      <c r="L57" t="str">
        <v>Premium</v>
      </c>
      <c r="M57">
        <v>44870</v>
      </c>
      <c r="N57">
        <v>1399.98</v>
      </c>
    </row>
    <row r="58" spans="1:14" x14ac:dyDescent="0.3">
      <c r="A58" t="str">
        <v>TRX0211</v>
      </c>
      <c r="B58">
        <v>45548</v>
      </c>
      <c r="C58" t="str">
        <v>CUST046</v>
      </c>
      <c r="D58" t="str">
        <v>Kathleen Bennett</v>
      </c>
      <c r="E58" t="str">
        <v>P010</v>
      </c>
      <c r="F58" t="str">
        <v>Keyboard</v>
      </c>
      <c r="G58" t="str">
        <v>Electronics</v>
      </c>
      <c r="H58">
        <v>2</v>
      </c>
      <c r="I58">
        <v>89.99</v>
      </c>
      <c r="J58" t="str">
        <v>Credit Card</v>
      </c>
      <c r="K58" t="str">
        <v>South</v>
      </c>
      <c r="L58" t="str">
        <v>Premium</v>
      </c>
      <c r="M58">
        <v>44641</v>
      </c>
      <c r="N58">
        <v>179.98</v>
      </c>
    </row>
    <row r="59" spans="1:14" x14ac:dyDescent="0.3">
      <c r="A59" t="str">
        <v>TRX0005</v>
      </c>
      <c r="B59">
        <v>45550</v>
      </c>
      <c r="C59" t="str">
        <v>CUST042</v>
      </c>
      <c r="D59" t="str">
        <v>Ruth Brooks</v>
      </c>
      <c r="E59" t="str">
        <v>P003</v>
      </c>
      <c r="F59" t="str">
        <v>Headphones</v>
      </c>
      <c r="G59" t="str">
        <v>Electronics</v>
      </c>
      <c r="H59">
        <v>4</v>
      </c>
      <c r="I59">
        <v>149.99</v>
      </c>
      <c r="J59" t="str">
        <v>Cash</v>
      </c>
      <c r="K59" t="str">
        <v>North</v>
      </c>
      <c r="L59" t="str">
        <v>Basic</v>
      </c>
      <c r="M59">
        <v>44909</v>
      </c>
      <c r="N59">
        <v>599.96</v>
      </c>
    </row>
    <row r="60" spans="1:14" x14ac:dyDescent="0.3">
      <c r="A60" t="str">
        <v>TRX0195</v>
      </c>
      <c r="B60">
        <v>45551</v>
      </c>
      <c r="C60" t="str">
        <v>CUST026</v>
      </c>
      <c r="D60" t="str">
        <v>Karen Hill</v>
      </c>
      <c r="E60" t="str">
        <v>P009</v>
      </c>
      <c r="F60" t="str">
        <v>Monitor</v>
      </c>
      <c r="G60" t="str">
        <v>Electronics</v>
      </c>
      <c r="H60">
        <v>2</v>
      </c>
      <c r="I60">
        <v>249.99</v>
      </c>
      <c r="J60" t="str">
        <v>PayPal</v>
      </c>
      <c r="K60" t="str">
        <v>South</v>
      </c>
      <c r="L60" t="str">
        <v>Basic</v>
      </c>
      <c r="M60">
        <v>44993</v>
      </c>
      <c r="N60">
        <v>499.98</v>
      </c>
    </row>
    <row r="61" spans="1:14" x14ac:dyDescent="0.3">
      <c r="A61" t="str">
        <v>TRX0077</v>
      </c>
      <c r="B61">
        <v>45554</v>
      </c>
      <c r="C61" t="str">
        <v>CUST019</v>
      </c>
      <c r="D61" t="str">
        <v>Daniel King</v>
      </c>
      <c r="E61" t="str">
        <v>P010</v>
      </c>
      <c r="F61" t="str">
        <v>Keyboard</v>
      </c>
      <c r="G61" t="str">
        <v>Electronics</v>
      </c>
      <c r="H61">
        <v>5</v>
      </c>
      <c r="I61">
        <v>89.99</v>
      </c>
      <c r="J61" t="str">
        <v>Credit Card</v>
      </c>
      <c r="K61" t="str">
        <v>East</v>
      </c>
      <c r="L61" t="str">
        <v>Premium</v>
      </c>
      <c r="M61">
        <v>44446</v>
      </c>
      <c r="N61">
        <v>449.95</v>
      </c>
    </row>
    <row r="62" spans="1:14" x14ac:dyDescent="0.3">
      <c r="A62" t="str">
        <v>TRX0111</v>
      </c>
      <c r="B62">
        <v>45554</v>
      </c>
      <c r="C62" t="str">
        <v>CUST011</v>
      </c>
      <c r="D62" t="str">
        <v>William White</v>
      </c>
      <c r="E62" t="str">
        <v>P003</v>
      </c>
      <c r="F62" t="str">
        <v>Headphones</v>
      </c>
      <c r="G62" t="str">
        <v>Electronics</v>
      </c>
      <c r="H62">
        <v>1</v>
      </c>
      <c r="I62">
        <v>149.99</v>
      </c>
      <c r="J62" t="str">
        <v>PayPal</v>
      </c>
      <c r="K62" t="str">
        <v>East</v>
      </c>
      <c r="L62" t="str">
        <v>Standard</v>
      </c>
      <c r="M62">
        <v>44482</v>
      </c>
      <c r="N62">
        <v>149.99</v>
      </c>
    </row>
    <row r="63" spans="1:14" x14ac:dyDescent="0.3">
      <c r="A63" t="str">
        <v>TRX0123</v>
      </c>
      <c r="B63">
        <v>45554</v>
      </c>
      <c r="C63" t="str">
        <v>CUST041</v>
      </c>
      <c r="D63" t="str">
        <v>Peter Richardson</v>
      </c>
      <c r="E63" t="str">
        <v>P002</v>
      </c>
      <c r="F63" t="str">
        <v>Smartphone</v>
      </c>
      <c r="G63" t="str">
        <v>Electronics</v>
      </c>
      <c r="H63">
        <v>4</v>
      </c>
      <c r="I63">
        <v>699.99</v>
      </c>
      <c r="J63" t="str">
        <v>PayPal</v>
      </c>
      <c r="K63" t="str">
        <v>South</v>
      </c>
      <c r="L63" t="str">
        <v>Basic</v>
      </c>
      <c r="M63">
        <v>44618</v>
      </c>
      <c r="N63">
        <v>2799.96</v>
      </c>
    </row>
    <row r="64" spans="1:14" x14ac:dyDescent="0.3">
      <c r="A64" t="str">
        <v>TRX0177</v>
      </c>
      <c r="B64">
        <v>45559</v>
      </c>
      <c r="C64" t="str">
        <v>CUST032</v>
      </c>
      <c r="D64" t="str">
        <v>Sandra Phillips</v>
      </c>
      <c r="E64" t="str">
        <v>P001</v>
      </c>
      <c r="F64" t="str">
        <v>Laptop</v>
      </c>
      <c r="G64" t="str">
        <v>Electronics</v>
      </c>
      <c r="H64">
        <v>3</v>
      </c>
      <c r="I64">
        <v>899.99</v>
      </c>
      <c r="J64" t="str">
        <v>Credit Card</v>
      </c>
      <c r="K64" t="str">
        <v>North</v>
      </c>
      <c r="L64" t="str">
        <v>Standard</v>
      </c>
      <c r="M64">
        <v>45157</v>
      </c>
      <c r="N64">
        <v>2699.97</v>
      </c>
    </row>
    <row r="65" spans="1:14" x14ac:dyDescent="0.3">
      <c r="A65" t="str">
        <v>TRX0203</v>
      </c>
      <c r="B65">
        <v>45572</v>
      </c>
      <c r="C65" t="str">
        <v>CUST032</v>
      </c>
      <c r="D65" t="str">
        <v>Sandra Phillips</v>
      </c>
      <c r="E65" t="str">
        <v>P003</v>
      </c>
      <c r="F65" t="str">
        <v>Headphones</v>
      </c>
      <c r="G65" t="str">
        <v>Electronics</v>
      </c>
      <c r="H65">
        <v>4</v>
      </c>
      <c r="I65">
        <v>149.99</v>
      </c>
      <c r="J65" t="str">
        <v>Credit Card</v>
      </c>
      <c r="K65" t="str">
        <v>North</v>
      </c>
      <c r="L65" t="str">
        <v>Premium</v>
      </c>
      <c r="M65">
        <v>45076</v>
      </c>
      <c r="N65">
        <v>599.96</v>
      </c>
    </row>
    <row r="66" spans="1:14" x14ac:dyDescent="0.3">
      <c r="A66" t="str">
        <v>TRX0055</v>
      </c>
      <c r="B66">
        <v>45573</v>
      </c>
      <c r="C66" t="str">
        <v>CUST016</v>
      </c>
      <c r="D66" t="str">
        <v>Elizabeth Hall</v>
      </c>
      <c r="E66" t="str">
        <v>P002</v>
      </c>
      <c r="F66" t="str">
        <v>Smartphone</v>
      </c>
      <c r="G66" t="str">
        <v>Electronics</v>
      </c>
      <c r="H66">
        <v>2</v>
      </c>
      <c r="I66">
        <v>699.99</v>
      </c>
      <c r="J66" t="str">
        <v>Debit Card</v>
      </c>
      <c r="K66" t="str">
        <v>East</v>
      </c>
      <c r="L66" t="str">
        <v>Premium</v>
      </c>
      <c r="M66">
        <v>45274</v>
      </c>
      <c r="N66">
        <v>1399.98</v>
      </c>
    </row>
    <row r="67" spans="1:14" x14ac:dyDescent="0.3">
      <c r="A67" t="str">
        <v>TRX0158</v>
      </c>
      <c r="B67">
        <v>45579</v>
      </c>
      <c r="C67" t="str">
        <v>CUST027</v>
      </c>
      <c r="D67" t="str">
        <v>George Adams</v>
      </c>
      <c r="E67" t="str">
        <v>P001</v>
      </c>
      <c r="F67" t="str">
        <v>Laptop</v>
      </c>
      <c r="G67" t="str">
        <v>Electronics</v>
      </c>
      <c r="H67">
        <v>3</v>
      </c>
      <c r="I67">
        <v>899.99</v>
      </c>
      <c r="J67" t="str">
        <v>PayPal</v>
      </c>
      <c r="K67" t="str">
        <v>West</v>
      </c>
      <c r="L67" t="str">
        <v>Basic</v>
      </c>
      <c r="M67">
        <v>45215</v>
      </c>
      <c r="N67">
        <v>2699.97</v>
      </c>
    </row>
    <row r="68" spans="1:14" x14ac:dyDescent="0.3">
      <c r="A68" t="str">
        <v>TRX0173</v>
      </c>
      <c r="B68">
        <v>45581</v>
      </c>
      <c r="C68" t="str">
        <v>CUST018</v>
      </c>
      <c r="D68" t="str">
        <v>Barbara Young</v>
      </c>
      <c r="E68" t="str">
        <v>P002</v>
      </c>
      <c r="F68" t="str">
        <v>Smartphone</v>
      </c>
      <c r="G68" t="str">
        <v>Electronics</v>
      </c>
      <c r="H68">
        <v>5</v>
      </c>
      <c r="I68">
        <v>699.99</v>
      </c>
      <c r="J68" t="str">
        <v>Cash</v>
      </c>
      <c r="K68" t="str">
        <v>East</v>
      </c>
      <c r="L68" t="str">
        <v>Standard</v>
      </c>
      <c r="M68">
        <v>45008</v>
      </c>
      <c r="N68">
        <v>3499.95</v>
      </c>
    </row>
    <row r="69" spans="1:14" x14ac:dyDescent="0.3">
      <c r="A69" t="str">
        <v>TRX0034</v>
      </c>
      <c r="B69">
        <v>45581</v>
      </c>
      <c r="C69" t="str">
        <v>CUST049</v>
      </c>
      <c r="D69" t="str">
        <v>Raymond Ross</v>
      </c>
      <c r="E69" t="str">
        <v>P002</v>
      </c>
      <c r="F69" t="str">
        <v>Smartphone</v>
      </c>
      <c r="G69" t="str">
        <v>Electronics</v>
      </c>
      <c r="H69">
        <v>4</v>
      </c>
      <c r="I69">
        <v>699.99</v>
      </c>
      <c r="J69" t="str">
        <v>Credit Card</v>
      </c>
      <c r="K69" t="str">
        <v>Central</v>
      </c>
      <c r="L69" t="str">
        <v>Basic</v>
      </c>
      <c r="M69">
        <v>45385</v>
      </c>
      <c r="N69">
        <v>2799.96</v>
      </c>
    </row>
    <row r="70" spans="1:14" x14ac:dyDescent="0.3">
      <c r="A70" t="str">
        <v>TRX0189</v>
      </c>
      <c r="B70">
        <v>45581</v>
      </c>
      <c r="C70" t="str">
        <v>CUST040</v>
      </c>
      <c r="D70" t="str">
        <v>Sharon Butler</v>
      </c>
      <c r="E70" t="str">
        <v>P001</v>
      </c>
      <c r="F70" t="str">
        <v>Laptop</v>
      </c>
      <c r="G70" t="str">
        <v>Electronics</v>
      </c>
      <c r="H70">
        <v>1</v>
      </c>
      <c r="I70">
        <v>899.99</v>
      </c>
      <c r="J70" t="str">
        <v>Credit Card</v>
      </c>
      <c r="K70" t="str">
        <v>East</v>
      </c>
      <c r="L70" t="str">
        <v>Standard</v>
      </c>
      <c r="M70">
        <v>45369</v>
      </c>
      <c r="N70">
        <v>899.99</v>
      </c>
    </row>
    <row r="71" spans="1:14" x14ac:dyDescent="0.3">
      <c r="A71" t="str">
        <v>TRX0190</v>
      </c>
      <c r="B71">
        <v>45583</v>
      </c>
      <c r="C71" t="str">
        <v>CUST039</v>
      </c>
      <c r="D71" t="str">
        <v>Lawrence Reed</v>
      </c>
      <c r="E71" t="str">
        <v>P003</v>
      </c>
      <c r="F71" t="str">
        <v>Headphones</v>
      </c>
      <c r="G71" t="str">
        <v>Electronics</v>
      </c>
      <c r="H71">
        <v>2</v>
      </c>
      <c r="I71">
        <v>149.99</v>
      </c>
      <c r="J71" t="str">
        <v>Credit Card</v>
      </c>
      <c r="K71" t="str">
        <v>West</v>
      </c>
      <c r="L71" t="str">
        <v>Basic</v>
      </c>
      <c r="M71">
        <v>44916</v>
      </c>
      <c r="N71">
        <v>299.98</v>
      </c>
    </row>
    <row r="72" spans="1:14" x14ac:dyDescent="0.3">
      <c r="A72" t="str">
        <v>TRX0079</v>
      </c>
      <c r="B72">
        <v>45586</v>
      </c>
      <c r="C72" t="str">
        <v>CUST039</v>
      </c>
      <c r="D72" t="str">
        <v>Lawrence Reed</v>
      </c>
      <c r="E72" t="str">
        <v>P010</v>
      </c>
      <c r="F72" t="str">
        <v>Keyboard</v>
      </c>
      <c r="G72" t="str">
        <v>Electronics</v>
      </c>
      <c r="H72">
        <v>3</v>
      </c>
      <c r="I72">
        <v>89.99</v>
      </c>
      <c r="J72" t="str">
        <v>PayPal</v>
      </c>
      <c r="K72" t="str">
        <v>Central</v>
      </c>
      <c r="L72" t="str">
        <v>Basic</v>
      </c>
      <c r="M72">
        <v>44551</v>
      </c>
      <c r="N72">
        <v>269.97000000000003</v>
      </c>
    </row>
    <row r="73" spans="1:14" x14ac:dyDescent="0.3">
      <c r="A73" t="str">
        <v>TRX0095</v>
      </c>
      <c r="B73">
        <v>45588</v>
      </c>
      <c r="C73" t="str">
        <v>CUST046</v>
      </c>
      <c r="D73" t="str">
        <v>Kathleen Bennett</v>
      </c>
      <c r="E73" t="str">
        <v>P003</v>
      </c>
      <c r="F73" t="str">
        <v>Headphones</v>
      </c>
      <c r="G73" t="str">
        <v>Electronics</v>
      </c>
      <c r="H73">
        <v>2</v>
      </c>
      <c r="I73">
        <v>149.99</v>
      </c>
      <c r="J73" t="str">
        <v>PayPal</v>
      </c>
      <c r="K73" t="str">
        <v>Central</v>
      </c>
      <c r="L73" t="str">
        <v>Basic</v>
      </c>
      <c r="M73">
        <v>44473</v>
      </c>
      <c r="N73">
        <v>299.98</v>
      </c>
    </row>
    <row r="74" spans="1:14" x14ac:dyDescent="0.3">
      <c r="A74" t="str">
        <v>TRX0009</v>
      </c>
      <c r="B74">
        <v>45588</v>
      </c>
      <c r="C74" t="str">
        <v>CUST004</v>
      </c>
      <c r="D74" t="str">
        <v>Sarah Davis</v>
      </c>
      <c r="E74" t="str">
        <v>P002</v>
      </c>
      <c r="F74" t="str">
        <v>Smartphone</v>
      </c>
      <c r="G74" t="str">
        <v>Electronics</v>
      </c>
      <c r="H74">
        <v>2</v>
      </c>
      <c r="I74">
        <v>699.99</v>
      </c>
      <c r="J74" t="str">
        <v>Cash</v>
      </c>
      <c r="K74" t="str">
        <v>Central</v>
      </c>
      <c r="L74" t="str">
        <v>Basic</v>
      </c>
      <c r="M74">
        <v>44992</v>
      </c>
      <c r="N74">
        <v>1399.98</v>
      </c>
    </row>
    <row r="75" spans="1:14" x14ac:dyDescent="0.3">
      <c r="A75" t="str">
        <v>TRX0167</v>
      </c>
      <c r="B75">
        <v>45589</v>
      </c>
      <c r="C75" t="str">
        <v>CUST028</v>
      </c>
      <c r="D75" t="str">
        <v>Betty Campbell</v>
      </c>
      <c r="E75" t="str">
        <v>P002</v>
      </c>
      <c r="F75" t="str">
        <v>Smartphone</v>
      </c>
      <c r="G75" t="str">
        <v>Electronics</v>
      </c>
      <c r="H75">
        <v>5</v>
      </c>
      <c r="I75">
        <v>699.99</v>
      </c>
      <c r="J75" t="str">
        <v>Cash</v>
      </c>
      <c r="K75" t="str">
        <v>North</v>
      </c>
      <c r="L75" t="str">
        <v>Premium</v>
      </c>
      <c r="M75">
        <v>44635</v>
      </c>
      <c r="N75">
        <v>3499.95</v>
      </c>
    </row>
    <row r="76" spans="1:14" x14ac:dyDescent="0.3">
      <c r="A76" t="str">
        <v>TRX0153</v>
      </c>
      <c r="B76">
        <v>45592</v>
      </c>
      <c r="C76" t="str">
        <v>CUST049</v>
      </c>
      <c r="D76" t="str">
        <v>Raymond Ross</v>
      </c>
      <c r="E76" t="str">
        <v>P010</v>
      </c>
      <c r="F76" t="str">
        <v>Keyboard</v>
      </c>
      <c r="G76" t="str">
        <v>Electronics</v>
      </c>
      <c r="H76">
        <v>3</v>
      </c>
      <c r="I76">
        <v>89.99</v>
      </c>
      <c r="J76" t="str">
        <v>Credit Card</v>
      </c>
      <c r="K76" t="str">
        <v>North</v>
      </c>
      <c r="L76" t="str">
        <v>Standard</v>
      </c>
      <c r="M76">
        <v>44615</v>
      </c>
      <c r="N76">
        <v>269.97000000000003</v>
      </c>
    </row>
    <row r="77" spans="1:14" x14ac:dyDescent="0.3">
      <c r="A77" t="str">
        <v>TRX0057</v>
      </c>
      <c r="B77">
        <v>45597</v>
      </c>
      <c r="C77" t="str">
        <v>CUST023</v>
      </c>
      <c r="D77" t="str">
        <v>Paul Baker</v>
      </c>
      <c r="E77" t="str">
        <v>P009</v>
      </c>
      <c r="F77" t="str">
        <v>Monitor</v>
      </c>
      <c r="G77" t="str">
        <v>Electronics</v>
      </c>
      <c r="H77">
        <v>5</v>
      </c>
      <c r="I77">
        <v>249.99</v>
      </c>
      <c r="J77" t="str">
        <v>Credit Card</v>
      </c>
      <c r="K77" t="str">
        <v>South</v>
      </c>
      <c r="L77" t="str">
        <v>Standard</v>
      </c>
      <c r="M77">
        <v>44881</v>
      </c>
      <c r="N77">
        <v>1249.95</v>
      </c>
    </row>
    <row r="78" spans="1:14" x14ac:dyDescent="0.3">
      <c r="A78" t="str">
        <v>TRX0060</v>
      </c>
      <c r="B78">
        <v>45603</v>
      </c>
      <c r="C78" t="str">
        <v>CUST012</v>
      </c>
      <c r="D78" t="str">
        <v>Patricia Moore</v>
      </c>
      <c r="E78" t="str">
        <v>P010</v>
      </c>
      <c r="F78" t="str">
        <v>Keyboard</v>
      </c>
      <c r="G78" t="str">
        <v>Electronics</v>
      </c>
      <c r="H78">
        <v>3</v>
      </c>
      <c r="I78">
        <v>89.99</v>
      </c>
      <c r="J78" t="str">
        <v>Credit Card</v>
      </c>
      <c r="K78" t="str">
        <v>North</v>
      </c>
      <c r="L78" t="str">
        <v>Premium</v>
      </c>
      <c r="M78">
        <v>44420</v>
      </c>
      <c r="N78">
        <v>269.97000000000003</v>
      </c>
    </row>
    <row r="79" spans="1:14" x14ac:dyDescent="0.3">
      <c r="A79" t="str">
        <v>TRX0090</v>
      </c>
      <c r="B79">
        <v>45605</v>
      </c>
      <c r="C79" t="str">
        <v>CUST020</v>
      </c>
      <c r="D79" t="str">
        <v>Margaret Wright</v>
      </c>
      <c r="E79" t="str">
        <v>P009</v>
      </c>
      <c r="F79" t="str">
        <v>Monitor</v>
      </c>
      <c r="G79" t="str">
        <v>Electronics</v>
      </c>
      <c r="H79">
        <v>1</v>
      </c>
      <c r="I79">
        <v>249.99</v>
      </c>
      <c r="J79" t="str">
        <v>Credit Card</v>
      </c>
      <c r="K79" t="str">
        <v>North</v>
      </c>
      <c r="L79" t="str">
        <v>Premium</v>
      </c>
      <c r="M79">
        <v>44828</v>
      </c>
      <c r="N79">
        <v>249.99</v>
      </c>
    </row>
    <row r="80" spans="1:14" x14ac:dyDescent="0.3">
      <c r="A80" t="str">
        <v>TRX0035</v>
      </c>
      <c r="B80">
        <v>45607</v>
      </c>
      <c r="C80" t="str">
        <v>CUST041</v>
      </c>
      <c r="D80" t="str">
        <v>Peter Richardson</v>
      </c>
      <c r="E80" t="str">
        <v>P003</v>
      </c>
      <c r="F80" t="str">
        <v>Headphones</v>
      </c>
      <c r="G80" t="str">
        <v>Electronics</v>
      </c>
      <c r="H80">
        <v>3</v>
      </c>
      <c r="I80">
        <v>149.99</v>
      </c>
      <c r="J80" t="str">
        <v>Cash</v>
      </c>
      <c r="K80" t="str">
        <v>North</v>
      </c>
      <c r="L80" t="str">
        <v>Basic</v>
      </c>
      <c r="M80">
        <v>44769</v>
      </c>
      <c r="N80">
        <v>449.97</v>
      </c>
    </row>
    <row r="81" spans="1:14" x14ac:dyDescent="0.3">
      <c r="A81" t="str">
        <v>TRX0076</v>
      </c>
      <c r="B81">
        <v>45607</v>
      </c>
      <c r="C81" t="str">
        <v>CUST012</v>
      </c>
      <c r="D81" t="str">
        <v>Patricia Moore</v>
      </c>
      <c r="E81" t="str">
        <v>P009</v>
      </c>
      <c r="F81" t="str">
        <v>Monitor</v>
      </c>
      <c r="G81" t="str">
        <v>Electronics</v>
      </c>
      <c r="H81">
        <v>4</v>
      </c>
      <c r="I81">
        <v>249.99</v>
      </c>
      <c r="J81" t="str">
        <v>Credit Card</v>
      </c>
      <c r="K81" t="str">
        <v>West</v>
      </c>
      <c r="L81" t="str">
        <v>Standard</v>
      </c>
      <c r="M81">
        <v>44659</v>
      </c>
      <c r="N81">
        <v>999.96</v>
      </c>
    </row>
    <row r="82" spans="1:14" x14ac:dyDescent="0.3">
      <c r="A82" t="str">
        <v>TRX0033</v>
      </c>
      <c r="B82">
        <v>45613</v>
      </c>
      <c r="C82" t="str">
        <v>CUST025</v>
      </c>
      <c r="D82" t="str">
        <v>Mark Carter</v>
      </c>
      <c r="E82" t="str">
        <v>P002</v>
      </c>
      <c r="F82" t="str">
        <v>Smartphone</v>
      </c>
      <c r="G82" t="str">
        <v>Electronics</v>
      </c>
      <c r="H82">
        <v>2</v>
      </c>
      <c r="I82">
        <v>699.99</v>
      </c>
      <c r="J82" t="str">
        <v>PayPal</v>
      </c>
      <c r="K82" t="str">
        <v>West</v>
      </c>
      <c r="L82" t="str">
        <v>Standard</v>
      </c>
      <c r="M82">
        <v>44770</v>
      </c>
      <c r="N82">
        <v>1399.98</v>
      </c>
    </row>
    <row r="83" spans="1:14" x14ac:dyDescent="0.3">
      <c r="A83" t="str">
        <v>TRX0148</v>
      </c>
      <c r="B83">
        <v>45619</v>
      </c>
      <c r="C83" t="str">
        <v>CUST004</v>
      </c>
      <c r="D83" t="str">
        <v>Sarah Davis</v>
      </c>
      <c r="E83" t="str">
        <v>P002</v>
      </c>
      <c r="F83" t="str">
        <v>Smartphone</v>
      </c>
      <c r="G83" t="str">
        <v>Electronics</v>
      </c>
      <c r="H83">
        <v>3</v>
      </c>
      <c r="I83">
        <v>699.99</v>
      </c>
      <c r="J83" t="str">
        <v>PayPal</v>
      </c>
      <c r="K83" t="str">
        <v>West</v>
      </c>
      <c r="L83" t="str">
        <v>Standard</v>
      </c>
      <c r="M83">
        <v>44583</v>
      </c>
      <c r="N83">
        <v>2099.9699999999998</v>
      </c>
    </row>
    <row r="84" spans="1:14" x14ac:dyDescent="0.3">
      <c r="A84" t="str">
        <v>TRX0012</v>
      </c>
      <c r="B84">
        <v>45622</v>
      </c>
      <c r="C84" t="str">
        <v>CUST045</v>
      </c>
      <c r="D84" t="str">
        <v>Douglas Watson</v>
      </c>
      <c r="E84" t="str">
        <v>P009</v>
      </c>
      <c r="F84" t="str">
        <v>Monitor</v>
      </c>
      <c r="G84" t="str">
        <v>Electronics</v>
      </c>
      <c r="H84">
        <v>5</v>
      </c>
      <c r="I84">
        <v>249.99</v>
      </c>
      <c r="J84" t="str">
        <v>Credit Card</v>
      </c>
      <c r="K84" t="str">
        <v>North</v>
      </c>
      <c r="L84" t="str">
        <v>Basic</v>
      </c>
      <c r="M84">
        <v>44873</v>
      </c>
      <c r="N84">
        <v>1249.95</v>
      </c>
    </row>
    <row r="85" spans="1:14" x14ac:dyDescent="0.3">
      <c r="A85" t="str">
        <v>TRX0094</v>
      </c>
      <c r="B85">
        <v>45627</v>
      </c>
      <c r="C85" t="str">
        <v>CUST017</v>
      </c>
      <c r="D85" t="str">
        <v>Charles Allen</v>
      </c>
      <c r="E85" t="str">
        <v>P009</v>
      </c>
      <c r="F85" t="str">
        <v>Monitor</v>
      </c>
      <c r="G85" t="str">
        <v>Electronics</v>
      </c>
      <c r="H85">
        <v>5</v>
      </c>
      <c r="I85">
        <v>249.99</v>
      </c>
      <c r="J85" t="str">
        <v>Cash</v>
      </c>
      <c r="K85" t="str">
        <v>Central</v>
      </c>
      <c r="L85" t="str">
        <v>Premium</v>
      </c>
      <c r="M85">
        <v>44485</v>
      </c>
      <c r="N85">
        <v>1249.95</v>
      </c>
    </row>
    <row r="86" spans="1:14" x14ac:dyDescent="0.3">
      <c r="A86" t="str">
        <v>TRX0133</v>
      </c>
      <c r="B86">
        <v>45627</v>
      </c>
      <c r="C86" t="str">
        <v>CUST013</v>
      </c>
      <c r="D86" t="str">
        <v>Joseph Jackson</v>
      </c>
      <c r="E86" t="str">
        <v>P003</v>
      </c>
      <c r="F86" t="str">
        <v>Headphones</v>
      </c>
      <c r="G86" t="str">
        <v>Electronics</v>
      </c>
      <c r="H86">
        <v>2</v>
      </c>
      <c r="I86">
        <v>149.99</v>
      </c>
      <c r="J86" t="str">
        <v>Cash</v>
      </c>
      <c r="K86" t="str">
        <v>South</v>
      </c>
      <c r="L86" t="str">
        <v>Premium</v>
      </c>
      <c r="M86">
        <v>44475</v>
      </c>
      <c r="N86">
        <v>299.98</v>
      </c>
    </row>
    <row r="87" spans="1:14" x14ac:dyDescent="0.3">
      <c r="A87" t="str">
        <v>TRX0201</v>
      </c>
      <c r="B87">
        <v>45627</v>
      </c>
      <c r="C87" t="str">
        <v>CUST025</v>
      </c>
      <c r="D87" t="str">
        <v>Mark Carter</v>
      </c>
      <c r="E87" t="str">
        <v>P002</v>
      </c>
      <c r="F87" t="str">
        <v>Smartphone</v>
      </c>
      <c r="G87" t="str">
        <v>Electronics</v>
      </c>
      <c r="H87">
        <v>5</v>
      </c>
      <c r="I87">
        <v>699.99</v>
      </c>
      <c r="J87" t="str">
        <v>Debit Card</v>
      </c>
      <c r="K87" t="str">
        <v>West</v>
      </c>
      <c r="L87" t="str">
        <v>Standard</v>
      </c>
      <c r="M87">
        <v>44944</v>
      </c>
      <c r="N87">
        <v>3499.95</v>
      </c>
    </row>
    <row r="88" spans="1:14" x14ac:dyDescent="0.3">
      <c r="A88" t="str">
        <v>TRX0137</v>
      </c>
      <c r="B88">
        <v>45629</v>
      </c>
      <c r="C88" t="str">
        <v>CUST011</v>
      </c>
      <c r="D88" t="str">
        <v>William White</v>
      </c>
      <c r="E88" t="str">
        <v>P009</v>
      </c>
      <c r="F88" t="str">
        <v>Monitor</v>
      </c>
      <c r="G88" t="str">
        <v>Electronics</v>
      </c>
      <c r="H88">
        <v>4</v>
      </c>
      <c r="I88">
        <v>249.99</v>
      </c>
      <c r="J88" t="str">
        <v>PayPal</v>
      </c>
      <c r="K88" t="str">
        <v>East</v>
      </c>
      <c r="L88" t="str">
        <v>Premium</v>
      </c>
      <c r="M88">
        <v>45098</v>
      </c>
      <c r="N88">
        <v>999.96</v>
      </c>
    </row>
    <row r="89" spans="1:14" x14ac:dyDescent="0.3">
      <c r="A89" t="str">
        <v>TRX0066</v>
      </c>
      <c r="B89">
        <v>45630</v>
      </c>
      <c r="C89" t="str">
        <v>CUST024</v>
      </c>
      <c r="D89" t="str">
        <v>Dorothy Nelson</v>
      </c>
      <c r="E89" t="str">
        <v>P002</v>
      </c>
      <c r="F89" t="str">
        <v>Smartphone</v>
      </c>
      <c r="G89" t="str">
        <v>Electronics</v>
      </c>
      <c r="H89">
        <v>4</v>
      </c>
      <c r="I89">
        <v>699.99</v>
      </c>
      <c r="J89" t="str">
        <v>Credit Card</v>
      </c>
      <c r="K89" t="str">
        <v>North</v>
      </c>
      <c r="L89" t="str">
        <v>Premium</v>
      </c>
      <c r="M89">
        <v>44703</v>
      </c>
      <c r="N89">
        <v>2799.96</v>
      </c>
    </row>
    <row r="90" spans="1:14" x14ac:dyDescent="0.3">
      <c r="A90" t="str">
        <v>TRX0180</v>
      </c>
      <c r="B90">
        <v>45635</v>
      </c>
      <c r="C90" t="str">
        <v>CUST036</v>
      </c>
      <c r="D90" t="str">
        <v>Nancy Collins</v>
      </c>
      <c r="E90" t="str">
        <v>P009</v>
      </c>
      <c r="F90" t="str">
        <v>Monitor</v>
      </c>
      <c r="G90" t="str">
        <v>Electronics</v>
      </c>
      <c r="H90">
        <v>2</v>
      </c>
      <c r="I90">
        <v>249.99</v>
      </c>
      <c r="J90" t="str">
        <v>Credit Card</v>
      </c>
      <c r="K90" t="str">
        <v>Central</v>
      </c>
      <c r="L90" t="str">
        <v>Premium</v>
      </c>
      <c r="M90">
        <v>44396</v>
      </c>
      <c r="N90">
        <v>499.98</v>
      </c>
    </row>
    <row r="91" spans="1:14" x14ac:dyDescent="0.3">
      <c r="A91" t="str">
        <v>TRX0032</v>
      </c>
      <c r="B91">
        <v>45638</v>
      </c>
      <c r="C91" t="str">
        <v>CUST041</v>
      </c>
      <c r="D91" t="str">
        <v>Peter Richardson</v>
      </c>
      <c r="E91" t="str">
        <v>P001</v>
      </c>
      <c r="F91" t="str">
        <v>Laptop</v>
      </c>
      <c r="G91" t="str">
        <v>Electronics</v>
      </c>
      <c r="H91">
        <v>2</v>
      </c>
      <c r="I91">
        <v>899.99</v>
      </c>
      <c r="J91" t="str">
        <v>Cash</v>
      </c>
      <c r="K91" t="str">
        <v>North</v>
      </c>
      <c r="L91" t="str">
        <v>Basic</v>
      </c>
      <c r="M91">
        <v>44406</v>
      </c>
      <c r="N91">
        <v>1799.98</v>
      </c>
    </row>
    <row r="92" spans="1:14" x14ac:dyDescent="0.3">
      <c r="A92" t="str">
        <v>TRX0183</v>
      </c>
      <c r="B92">
        <v>45645</v>
      </c>
      <c r="C92" t="str">
        <v>CUST007</v>
      </c>
      <c r="D92" t="str">
        <v>David Martinez</v>
      </c>
      <c r="E92" t="str">
        <v>P010</v>
      </c>
      <c r="F92" t="str">
        <v>Keyboard</v>
      </c>
      <c r="G92" t="str">
        <v>Electronics</v>
      </c>
      <c r="H92">
        <v>1</v>
      </c>
      <c r="I92">
        <v>89.99</v>
      </c>
      <c r="J92" t="str">
        <v>Debit Card</v>
      </c>
      <c r="K92" t="str">
        <v>Central</v>
      </c>
      <c r="L92" t="str">
        <v>Standard</v>
      </c>
      <c r="M92">
        <v>44760</v>
      </c>
      <c r="N92">
        <v>89.99</v>
      </c>
    </row>
    <row r="93" spans="1:14" x14ac:dyDescent="0.3">
      <c r="A93" t="str">
        <v>TRX0163</v>
      </c>
      <c r="B93">
        <v>45645</v>
      </c>
      <c r="C93" t="str">
        <v>CUST019</v>
      </c>
      <c r="D93" t="str">
        <v>Daniel King</v>
      </c>
      <c r="E93" t="str">
        <v>P001</v>
      </c>
      <c r="F93" t="str">
        <v>Laptop</v>
      </c>
      <c r="G93" t="str">
        <v>Electronics</v>
      </c>
      <c r="H93">
        <v>5</v>
      </c>
      <c r="I93">
        <v>899.99</v>
      </c>
      <c r="J93" t="str">
        <v>Debit Card</v>
      </c>
      <c r="K93" t="str">
        <v>East</v>
      </c>
      <c r="L93" t="str">
        <v>Standard</v>
      </c>
      <c r="M93">
        <v>44625</v>
      </c>
      <c r="N93">
        <v>4499.95</v>
      </c>
    </row>
    <row r="94" spans="1:14" x14ac:dyDescent="0.3">
      <c r="A94" t="str">
        <v>TRX0164</v>
      </c>
      <c r="B94">
        <v>45648</v>
      </c>
      <c r="C94" t="str">
        <v>CUST014</v>
      </c>
      <c r="D94" t="str">
        <v>Linda Martin</v>
      </c>
      <c r="E94" t="str">
        <v>P003</v>
      </c>
      <c r="F94" t="str">
        <v>Headphones</v>
      </c>
      <c r="G94" t="str">
        <v>Electronics</v>
      </c>
      <c r="H94">
        <v>2</v>
      </c>
      <c r="I94">
        <v>149.99</v>
      </c>
      <c r="J94" t="str">
        <v>Debit Card</v>
      </c>
      <c r="K94" t="str">
        <v>West</v>
      </c>
      <c r="L94" t="str">
        <v>Premium</v>
      </c>
      <c r="M94">
        <v>45280</v>
      </c>
      <c r="N94">
        <v>299.98</v>
      </c>
    </row>
    <row r="95" spans="1:14" x14ac:dyDescent="0.3">
      <c r="A95" t="str">
        <v>TRX0156</v>
      </c>
      <c r="B95">
        <v>45655</v>
      </c>
      <c r="C95" t="str">
        <v>CUST009</v>
      </c>
      <c r="D95" t="str">
        <v>Robert Thomas</v>
      </c>
      <c r="E95" t="str">
        <v>P010</v>
      </c>
      <c r="F95" t="str">
        <v>Keyboard</v>
      </c>
      <c r="G95" t="str">
        <v>Electronics</v>
      </c>
      <c r="H95">
        <v>1</v>
      </c>
      <c r="I95">
        <v>89.99</v>
      </c>
      <c r="J95" t="str">
        <v>Credit Card</v>
      </c>
      <c r="K95" t="str">
        <v>South</v>
      </c>
      <c r="L95" t="str">
        <v>Premium</v>
      </c>
      <c r="M95">
        <v>44591</v>
      </c>
      <c r="N95">
        <v>89.99</v>
      </c>
    </row>
    <row r="96" spans="1:14" x14ac:dyDescent="0.3">
      <c r="A96" t="str">
        <v>TRX0207</v>
      </c>
      <c r="B96">
        <v>45657</v>
      </c>
      <c r="C96" t="str">
        <v>CUST025</v>
      </c>
      <c r="D96" t="str">
        <v>Mark Carter</v>
      </c>
      <c r="E96" t="str">
        <v>P001</v>
      </c>
      <c r="F96" t="str">
        <v>Laptop</v>
      </c>
      <c r="G96" t="str">
        <v>Electronics</v>
      </c>
      <c r="H96">
        <v>1</v>
      </c>
      <c r="I96">
        <v>899.99</v>
      </c>
      <c r="J96" t="str">
        <v>PayPal</v>
      </c>
      <c r="K96" t="str">
        <v>North</v>
      </c>
      <c r="L96" t="str">
        <v>Premium</v>
      </c>
      <c r="M96">
        <v>45050</v>
      </c>
      <c r="N96">
        <v>899.99</v>
      </c>
    </row>
    <row r="97" spans="1:14" x14ac:dyDescent="0.3">
      <c r="A97" t="str">
        <v>TRX0056</v>
      </c>
      <c r="B97">
        <v>45660</v>
      </c>
      <c r="C97" t="str">
        <v>CUST019</v>
      </c>
      <c r="D97" t="str">
        <v>Daniel King</v>
      </c>
      <c r="E97" t="str">
        <v>P010</v>
      </c>
      <c r="F97" t="str">
        <v>Keyboard</v>
      </c>
      <c r="G97" t="str">
        <v>Electronics</v>
      </c>
      <c r="H97">
        <v>2</v>
      </c>
      <c r="I97">
        <v>89.99</v>
      </c>
      <c r="J97" t="str">
        <v>Credit Card</v>
      </c>
      <c r="K97" t="str">
        <v>South</v>
      </c>
      <c r="L97" t="str">
        <v>Premium</v>
      </c>
      <c r="M97">
        <v>44564</v>
      </c>
      <c r="N97">
        <v>179.98</v>
      </c>
    </row>
    <row r="98" spans="1:14" x14ac:dyDescent="0.3">
      <c r="A98" t="str">
        <v>TRX0026</v>
      </c>
      <c r="B98">
        <v>45661</v>
      </c>
      <c r="C98" t="str">
        <v>CUST037</v>
      </c>
      <c r="D98" t="str">
        <v>Arthur Edwards</v>
      </c>
      <c r="E98" t="str">
        <v>P001</v>
      </c>
      <c r="F98" t="str">
        <v>Laptop</v>
      </c>
      <c r="G98" t="str">
        <v>Electronics</v>
      </c>
      <c r="H98">
        <v>1</v>
      </c>
      <c r="I98">
        <v>899.99</v>
      </c>
      <c r="J98" t="str">
        <v>PayPal</v>
      </c>
      <c r="K98" t="str">
        <v>North</v>
      </c>
      <c r="L98" t="str">
        <v>Standard</v>
      </c>
      <c r="M98">
        <v>44752</v>
      </c>
      <c r="N98">
        <v>899.99</v>
      </c>
    </row>
    <row r="99" spans="1:14" x14ac:dyDescent="0.3">
      <c r="A99" t="str">
        <v>TRX0237</v>
      </c>
      <c r="B99">
        <v>45663</v>
      </c>
      <c r="C99" t="str">
        <v>CUST006</v>
      </c>
      <c r="D99" t="str">
        <v>Lisa Anderson</v>
      </c>
      <c r="E99" t="str">
        <v>P003</v>
      </c>
      <c r="F99" t="str">
        <v>Headphones</v>
      </c>
      <c r="G99" t="str">
        <v>Electronics</v>
      </c>
      <c r="H99">
        <v>5</v>
      </c>
      <c r="I99">
        <v>149.99</v>
      </c>
      <c r="J99" t="str">
        <v>PayPal</v>
      </c>
      <c r="K99" t="str">
        <v>East</v>
      </c>
      <c r="L99" t="str">
        <v>Premium</v>
      </c>
      <c r="M99">
        <v>44824</v>
      </c>
      <c r="N99">
        <v>749.95</v>
      </c>
    </row>
    <row r="100" spans="1:14" x14ac:dyDescent="0.3">
      <c r="A100" t="str">
        <v>TRX0125</v>
      </c>
      <c r="B100">
        <v>45666</v>
      </c>
      <c r="C100" t="str">
        <v>CUST026</v>
      </c>
      <c r="D100" t="str">
        <v>Karen Hill</v>
      </c>
      <c r="E100" t="str">
        <v>P002</v>
      </c>
      <c r="F100" t="str">
        <v>Smartphone</v>
      </c>
      <c r="G100" t="str">
        <v>Electronics</v>
      </c>
      <c r="H100">
        <v>3</v>
      </c>
      <c r="I100">
        <v>699.99</v>
      </c>
      <c r="J100" t="str">
        <v>Credit Card</v>
      </c>
      <c r="K100" t="str">
        <v>Central</v>
      </c>
      <c r="L100" t="str">
        <v>Premium</v>
      </c>
      <c r="M100">
        <v>45105</v>
      </c>
      <c r="N100">
        <v>2099.9699999999998</v>
      </c>
    </row>
    <row r="101" spans="1:14" x14ac:dyDescent="0.3">
      <c r="A101" t="str">
        <v>TRX0243</v>
      </c>
      <c r="B101">
        <v>45667</v>
      </c>
      <c r="C101" t="str">
        <v>CUST048</v>
      </c>
      <c r="D101" t="str">
        <v>Virginia Sanders</v>
      </c>
      <c r="E101" t="str">
        <v>P009</v>
      </c>
      <c r="F101" t="str">
        <v>Monitor</v>
      </c>
      <c r="G101" t="str">
        <v>Electronics</v>
      </c>
      <c r="H101">
        <v>5</v>
      </c>
      <c r="I101">
        <v>249.99</v>
      </c>
      <c r="J101" t="str">
        <v>Credit Card</v>
      </c>
      <c r="K101" t="str">
        <v>South</v>
      </c>
      <c r="L101" t="str">
        <v>Basic</v>
      </c>
      <c r="M101">
        <v>45330</v>
      </c>
      <c r="N101">
        <v>1249.95</v>
      </c>
    </row>
    <row r="102" spans="1:14" x14ac:dyDescent="0.3">
      <c r="A102" t="str">
        <v>TRX0084</v>
      </c>
      <c r="B102">
        <v>45668</v>
      </c>
      <c r="C102" t="str">
        <v>CUST031</v>
      </c>
      <c r="D102" t="str">
        <v>Steven Turner</v>
      </c>
      <c r="E102" t="str">
        <v>P003</v>
      </c>
      <c r="F102" t="str">
        <v>Headphones</v>
      </c>
      <c r="G102" t="str">
        <v>Electronics</v>
      </c>
      <c r="H102">
        <v>4</v>
      </c>
      <c r="I102">
        <v>149.99</v>
      </c>
      <c r="J102" t="str">
        <v>Debit Card</v>
      </c>
      <c r="K102" t="str">
        <v>East</v>
      </c>
      <c r="L102" t="str">
        <v>Standard</v>
      </c>
      <c r="M102">
        <v>44536</v>
      </c>
      <c r="N102">
        <v>599.96</v>
      </c>
    </row>
    <row r="103" spans="1:14" x14ac:dyDescent="0.3">
      <c r="A103" t="str">
        <v>TRX0238</v>
      </c>
      <c r="B103">
        <v>45668</v>
      </c>
      <c r="C103" t="str">
        <v>CUST038</v>
      </c>
      <c r="D103" t="str">
        <v>Michelle Rogers</v>
      </c>
      <c r="E103" t="str">
        <v>P002</v>
      </c>
      <c r="F103" t="str">
        <v>Smartphone</v>
      </c>
      <c r="G103" t="str">
        <v>Electronics</v>
      </c>
      <c r="H103">
        <v>3</v>
      </c>
      <c r="I103">
        <v>699.99</v>
      </c>
      <c r="J103" t="str">
        <v>Cash</v>
      </c>
      <c r="K103" t="str">
        <v>North</v>
      </c>
      <c r="L103" t="str">
        <v>Premium</v>
      </c>
      <c r="M103">
        <v>44602</v>
      </c>
      <c r="N103">
        <v>2099.9699999999998</v>
      </c>
    </row>
    <row r="104" spans="1:14" x14ac:dyDescent="0.3">
      <c r="A104" t="str">
        <v>TRX0087</v>
      </c>
      <c r="B104">
        <v>45671</v>
      </c>
      <c r="C104" t="str">
        <v>CUST028</v>
      </c>
      <c r="D104" t="str">
        <v>Betty Campbell</v>
      </c>
      <c r="E104" t="str">
        <v>P009</v>
      </c>
      <c r="F104" t="str">
        <v>Monitor</v>
      </c>
      <c r="G104" t="str">
        <v>Electronics</v>
      </c>
      <c r="H104">
        <v>4</v>
      </c>
      <c r="I104">
        <v>249.99</v>
      </c>
      <c r="J104" t="str">
        <v>Credit Card</v>
      </c>
      <c r="K104" t="str">
        <v>North</v>
      </c>
      <c r="L104" t="str">
        <v>Premium</v>
      </c>
      <c r="M104">
        <v>44460</v>
      </c>
      <c r="N104">
        <v>999.96</v>
      </c>
    </row>
    <row r="105" spans="1:14" x14ac:dyDescent="0.3">
      <c r="A105" t="str">
        <v>TRX0107</v>
      </c>
      <c r="B105">
        <v>45671</v>
      </c>
      <c r="C105" t="str">
        <v>CUST030</v>
      </c>
      <c r="D105" t="str">
        <v>Helen Roberts</v>
      </c>
      <c r="E105" t="str">
        <v>P003</v>
      </c>
      <c r="F105" t="str">
        <v>Headphones</v>
      </c>
      <c r="G105" t="str">
        <v>Electronics</v>
      </c>
      <c r="H105">
        <v>2</v>
      </c>
      <c r="I105">
        <v>149.99</v>
      </c>
      <c r="J105" t="str">
        <v>Cash</v>
      </c>
      <c r="K105" t="str">
        <v>North</v>
      </c>
      <c r="L105" t="str">
        <v>Standard</v>
      </c>
      <c r="M105">
        <v>44913</v>
      </c>
      <c r="N105">
        <v>299.98</v>
      </c>
    </row>
    <row r="106" spans="1:14" x14ac:dyDescent="0.3">
      <c r="A106" t="str">
        <v>TRX0159</v>
      </c>
      <c r="B106">
        <v>45683</v>
      </c>
      <c r="C106" t="str">
        <v>CUST024</v>
      </c>
      <c r="D106" t="str">
        <v>Dorothy Nelson</v>
      </c>
      <c r="E106" t="str">
        <v>P009</v>
      </c>
      <c r="F106" t="str">
        <v>Monitor</v>
      </c>
      <c r="G106" t="str">
        <v>Electronics</v>
      </c>
      <c r="H106">
        <v>4</v>
      </c>
      <c r="I106">
        <v>249.99</v>
      </c>
      <c r="J106" t="str">
        <v>Debit Card</v>
      </c>
      <c r="K106" t="str">
        <v>Central</v>
      </c>
      <c r="L106" t="str">
        <v>Premium</v>
      </c>
      <c r="M106">
        <v>45217</v>
      </c>
      <c r="N106">
        <v>999.96</v>
      </c>
    </row>
    <row r="107" spans="1:14" x14ac:dyDescent="0.3">
      <c r="A107" t="str">
        <v>TRX0030</v>
      </c>
      <c r="B107">
        <v>45686</v>
      </c>
      <c r="C107" t="str">
        <v>CUST011</v>
      </c>
      <c r="D107" t="str">
        <v>William White</v>
      </c>
      <c r="E107" t="str">
        <v>P001</v>
      </c>
      <c r="F107" t="str">
        <v>Laptop</v>
      </c>
      <c r="G107" t="str">
        <v>Electronics</v>
      </c>
      <c r="H107">
        <v>4</v>
      </c>
      <c r="I107">
        <v>899.99</v>
      </c>
      <c r="J107" t="str">
        <v>PayPal</v>
      </c>
      <c r="K107" t="str">
        <v>Central</v>
      </c>
      <c r="L107" t="str">
        <v>Basic</v>
      </c>
      <c r="M107">
        <v>44734</v>
      </c>
      <c r="N107">
        <v>3599.96</v>
      </c>
    </row>
    <row r="108" spans="1:14" x14ac:dyDescent="0.3">
      <c r="A108" t="str">
        <v>TRX0188</v>
      </c>
      <c r="B108">
        <v>45686</v>
      </c>
      <c r="C108" t="str">
        <v>CUST045</v>
      </c>
      <c r="D108" t="str">
        <v>Douglas Watson</v>
      </c>
      <c r="E108" t="str">
        <v>P002</v>
      </c>
      <c r="F108" t="str">
        <v>Smartphone</v>
      </c>
      <c r="G108" t="str">
        <v>Electronics</v>
      </c>
      <c r="H108">
        <v>2</v>
      </c>
      <c r="I108">
        <v>699.99</v>
      </c>
      <c r="J108" t="str">
        <v>Debit Card</v>
      </c>
      <c r="K108" t="str">
        <v>Central</v>
      </c>
      <c r="L108" t="str">
        <v>Premium</v>
      </c>
      <c r="M108">
        <v>44681</v>
      </c>
      <c r="N108">
        <v>1399.98</v>
      </c>
    </row>
    <row r="109" spans="1:14" x14ac:dyDescent="0.3">
      <c r="A109" t="str">
        <v>TRX0010</v>
      </c>
      <c r="B109">
        <v>45688</v>
      </c>
      <c r="C109" t="str">
        <v>CUST026</v>
      </c>
      <c r="D109" t="str">
        <v>Karen Hill</v>
      </c>
      <c r="E109" t="str">
        <v>P002</v>
      </c>
      <c r="F109" t="str">
        <v>Smartphone</v>
      </c>
      <c r="G109" t="str">
        <v>Electronics</v>
      </c>
      <c r="H109">
        <v>4</v>
      </c>
      <c r="I109">
        <v>699.99</v>
      </c>
      <c r="J109" t="str">
        <v>Debit Card</v>
      </c>
      <c r="K109" t="str">
        <v>West</v>
      </c>
      <c r="L109" t="str">
        <v>Premium</v>
      </c>
      <c r="M109">
        <v>44692</v>
      </c>
      <c r="N109">
        <v>2799.96</v>
      </c>
    </row>
    <row r="110" spans="1:14" x14ac:dyDescent="0.3">
      <c r="A110" t="str">
        <v>TRX0069</v>
      </c>
      <c r="B110">
        <v>45688</v>
      </c>
      <c r="C110" t="str">
        <v>CUST029</v>
      </c>
      <c r="D110" t="str">
        <v>Edward Mitchell</v>
      </c>
      <c r="E110" t="str">
        <v>P010</v>
      </c>
      <c r="F110" t="str">
        <v>Keyboard</v>
      </c>
      <c r="G110" t="str">
        <v>Electronics</v>
      </c>
      <c r="H110">
        <v>2</v>
      </c>
      <c r="I110">
        <v>89.99</v>
      </c>
      <c r="J110" t="str">
        <v>Debit Card</v>
      </c>
      <c r="K110" t="str">
        <v>South</v>
      </c>
      <c r="L110" t="str">
        <v>Basic</v>
      </c>
      <c r="M110">
        <v>44777</v>
      </c>
      <c r="N110">
        <v>179.98</v>
      </c>
    </row>
    <row r="111" spans="1:14" x14ac:dyDescent="0.3">
      <c r="A111" t="str">
        <v>TRX0166</v>
      </c>
      <c r="B111">
        <v>45688</v>
      </c>
      <c r="C111" t="str">
        <v>CUST003</v>
      </c>
      <c r="D111" t="str">
        <v>Michael Brown</v>
      </c>
      <c r="E111" t="str">
        <v>P010</v>
      </c>
      <c r="F111" t="str">
        <v>Keyboard</v>
      </c>
      <c r="G111" t="str">
        <v>Electronics</v>
      </c>
      <c r="H111">
        <v>3</v>
      </c>
      <c r="I111">
        <v>89.99</v>
      </c>
      <c r="J111" t="str">
        <v>Debit Card</v>
      </c>
      <c r="K111" t="str">
        <v>South</v>
      </c>
      <c r="L111" t="str">
        <v>Premium</v>
      </c>
      <c r="M111">
        <v>45307</v>
      </c>
      <c r="N111">
        <v>269.97000000000003</v>
      </c>
    </row>
    <row r="112" spans="1:14" x14ac:dyDescent="0.3">
      <c r="A112" t="str">
        <v>TRX0196</v>
      </c>
      <c r="B112">
        <v>45704</v>
      </c>
      <c r="C112" t="str">
        <v>CUST023</v>
      </c>
      <c r="D112" t="str">
        <v>Paul Baker</v>
      </c>
      <c r="E112" t="str">
        <v>P010</v>
      </c>
      <c r="F112" t="str">
        <v>Keyboard</v>
      </c>
      <c r="G112" t="str">
        <v>Electronics</v>
      </c>
      <c r="H112">
        <v>2</v>
      </c>
      <c r="I112">
        <v>89.99</v>
      </c>
      <c r="J112" t="str">
        <v>PayPal</v>
      </c>
      <c r="K112" t="str">
        <v>Central</v>
      </c>
      <c r="L112" t="str">
        <v>Basic</v>
      </c>
      <c r="M112">
        <v>45257</v>
      </c>
      <c r="N112">
        <v>179.98</v>
      </c>
    </row>
    <row r="113" spans="1:14" x14ac:dyDescent="0.3">
      <c r="A113" t="str">
        <v>TRX0179</v>
      </c>
      <c r="B113">
        <v>45707</v>
      </c>
      <c r="C113" t="str">
        <v>CUST029</v>
      </c>
      <c r="D113" t="str">
        <v>Edward Mitchell</v>
      </c>
      <c r="E113" t="str">
        <v>P002</v>
      </c>
      <c r="F113" t="str">
        <v>Smartphone</v>
      </c>
      <c r="G113" t="str">
        <v>Electronics</v>
      </c>
      <c r="H113">
        <v>5</v>
      </c>
      <c r="I113">
        <v>699.99</v>
      </c>
      <c r="J113" t="str">
        <v>PayPal</v>
      </c>
      <c r="K113" t="str">
        <v>South</v>
      </c>
      <c r="L113" t="str">
        <v>Premium</v>
      </c>
      <c r="M113">
        <v>45352</v>
      </c>
      <c r="N113">
        <v>3499.95</v>
      </c>
    </row>
    <row r="114" spans="1:14" x14ac:dyDescent="0.3">
      <c r="A114" t="str">
        <v>TRX0214</v>
      </c>
      <c r="B114">
        <v>45708</v>
      </c>
      <c r="C114" t="str">
        <v>CUST018</v>
      </c>
      <c r="D114" t="str">
        <v>Barbara Young</v>
      </c>
      <c r="E114" t="str">
        <v>P001</v>
      </c>
      <c r="F114" t="str">
        <v>Laptop</v>
      </c>
      <c r="G114" t="str">
        <v>Electronics</v>
      </c>
      <c r="H114">
        <v>3</v>
      </c>
      <c r="I114">
        <v>899.99</v>
      </c>
      <c r="J114" t="str">
        <v>Cash</v>
      </c>
      <c r="K114" t="str">
        <v>East</v>
      </c>
      <c r="L114" t="str">
        <v>Standard</v>
      </c>
      <c r="M114">
        <v>44613</v>
      </c>
      <c r="N114">
        <v>2699.97</v>
      </c>
    </row>
    <row r="115" spans="1:14" x14ac:dyDescent="0.3">
      <c r="A115" t="str">
        <v>TRX0151</v>
      </c>
      <c r="B115">
        <v>45710</v>
      </c>
      <c r="C115" t="str">
        <v>CUST040</v>
      </c>
      <c r="D115" t="str">
        <v>Sharon Butler</v>
      </c>
      <c r="E115" t="str">
        <v>P002</v>
      </c>
      <c r="F115" t="str">
        <v>Smartphone</v>
      </c>
      <c r="G115" t="str">
        <v>Electronics</v>
      </c>
      <c r="H115">
        <v>1</v>
      </c>
      <c r="I115">
        <v>699.99</v>
      </c>
      <c r="J115" t="str">
        <v>PayPal</v>
      </c>
      <c r="K115" t="str">
        <v>West</v>
      </c>
      <c r="L115" t="str">
        <v>Basic</v>
      </c>
      <c r="M115">
        <v>44934</v>
      </c>
      <c r="N115">
        <v>699.99</v>
      </c>
    </row>
    <row r="116" spans="1:14" x14ac:dyDescent="0.3">
      <c r="A116" t="str">
        <v>TRX0047</v>
      </c>
      <c r="B116">
        <v>45711</v>
      </c>
      <c r="C116" t="str">
        <v>CUST042</v>
      </c>
      <c r="D116" t="str">
        <v>Ruth Brooks</v>
      </c>
      <c r="E116" t="str">
        <v>P002</v>
      </c>
      <c r="F116" t="str">
        <v>Smartphone</v>
      </c>
      <c r="G116" t="str">
        <v>Electronics</v>
      </c>
      <c r="H116">
        <v>1</v>
      </c>
      <c r="I116">
        <v>699.99</v>
      </c>
      <c r="J116" t="str">
        <v>Cash</v>
      </c>
      <c r="K116" t="str">
        <v>North</v>
      </c>
      <c r="L116" t="str">
        <v>Premium</v>
      </c>
      <c r="M116">
        <v>44583</v>
      </c>
      <c r="N116">
        <v>699.99</v>
      </c>
    </row>
    <row r="117" spans="1:14" x14ac:dyDescent="0.3">
      <c r="A117" t="str">
        <v>TRX0062</v>
      </c>
      <c r="B117">
        <v>45711</v>
      </c>
      <c r="C117" t="str">
        <v>CUST016</v>
      </c>
      <c r="D117" t="str">
        <v>Elizabeth Hall</v>
      </c>
      <c r="E117" t="str">
        <v>P010</v>
      </c>
      <c r="F117" t="str">
        <v>Keyboard</v>
      </c>
      <c r="G117" t="str">
        <v>Electronics</v>
      </c>
      <c r="H117">
        <v>5</v>
      </c>
      <c r="I117">
        <v>89.99</v>
      </c>
      <c r="J117" t="str">
        <v>PayPal</v>
      </c>
      <c r="K117" t="str">
        <v>West</v>
      </c>
      <c r="L117" t="str">
        <v>Premium</v>
      </c>
      <c r="M117">
        <v>45140</v>
      </c>
      <c r="N117">
        <v>449.95</v>
      </c>
    </row>
    <row r="118" spans="1:14" x14ac:dyDescent="0.3">
      <c r="A118" t="str">
        <v>TRX0226</v>
      </c>
      <c r="B118">
        <v>45720</v>
      </c>
      <c r="C118" t="str">
        <v>CUST039</v>
      </c>
      <c r="D118" t="str">
        <v>Lawrence Reed</v>
      </c>
      <c r="E118" t="str">
        <v>P002</v>
      </c>
      <c r="F118" t="str">
        <v>Smartphone</v>
      </c>
      <c r="G118" t="str">
        <v>Electronics</v>
      </c>
      <c r="H118">
        <v>5</v>
      </c>
      <c r="I118">
        <v>699.99</v>
      </c>
      <c r="J118" t="str">
        <v>Debit Card</v>
      </c>
      <c r="K118" t="str">
        <v>East</v>
      </c>
      <c r="L118" t="str">
        <v>Premium</v>
      </c>
      <c r="M118">
        <v>45161</v>
      </c>
      <c r="N118">
        <v>3499.95</v>
      </c>
    </row>
    <row r="119" spans="1:14" x14ac:dyDescent="0.3">
      <c r="A119" t="str">
        <v>TRX0233</v>
      </c>
      <c r="B119">
        <v>45723</v>
      </c>
      <c r="C119" t="str">
        <v>CUST023</v>
      </c>
      <c r="D119" t="str">
        <v>Paul Baker</v>
      </c>
      <c r="E119" t="str">
        <v>P010</v>
      </c>
      <c r="F119" t="str">
        <v>Keyboard</v>
      </c>
      <c r="G119" t="str">
        <v>Electronics</v>
      </c>
      <c r="H119">
        <v>2</v>
      </c>
      <c r="I119">
        <v>89.99</v>
      </c>
      <c r="J119" t="str">
        <v>Credit Card</v>
      </c>
      <c r="K119" t="str">
        <v>West</v>
      </c>
      <c r="L119" t="str">
        <v>Premium</v>
      </c>
      <c r="M119">
        <v>45295</v>
      </c>
      <c r="N119">
        <v>179.98</v>
      </c>
    </row>
    <row r="120" spans="1:14" x14ac:dyDescent="0.3">
      <c r="A120" t="str">
        <v>TRX0175</v>
      </c>
      <c r="B120">
        <v>45723</v>
      </c>
      <c r="C120" t="str">
        <v>CUST030</v>
      </c>
      <c r="D120" t="str">
        <v>Helen Roberts</v>
      </c>
      <c r="E120" t="str">
        <v>P009</v>
      </c>
      <c r="F120" t="str">
        <v>Monitor</v>
      </c>
      <c r="G120" t="str">
        <v>Electronics</v>
      </c>
      <c r="H120">
        <v>5</v>
      </c>
      <c r="I120">
        <v>249.99</v>
      </c>
      <c r="J120" t="str">
        <v>Cash</v>
      </c>
      <c r="K120" t="str">
        <v>East</v>
      </c>
      <c r="L120" t="str">
        <v>Standard</v>
      </c>
      <c r="M120">
        <v>44540</v>
      </c>
      <c r="N120">
        <v>1249.95</v>
      </c>
    </row>
    <row r="121" spans="1:14" x14ac:dyDescent="0.3">
      <c r="A121" t="str">
        <v>TRX0016</v>
      </c>
      <c r="B121">
        <v>45724</v>
      </c>
      <c r="C121" t="str">
        <v>CUST035</v>
      </c>
      <c r="D121" t="str">
        <v>Harry Morgan</v>
      </c>
      <c r="E121" t="str">
        <v>P001</v>
      </c>
      <c r="F121" t="str">
        <v>Laptop</v>
      </c>
      <c r="G121" t="str">
        <v>Electronics</v>
      </c>
      <c r="H121">
        <v>5</v>
      </c>
      <c r="I121">
        <v>899.99</v>
      </c>
      <c r="J121" t="str">
        <v>PayPal</v>
      </c>
      <c r="K121" t="str">
        <v>East</v>
      </c>
      <c r="L121" t="str">
        <v>Premium</v>
      </c>
      <c r="M121">
        <v>45389</v>
      </c>
      <c r="N121">
        <v>4499.95</v>
      </c>
    </row>
    <row r="122" spans="1:14" x14ac:dyDescent="0.3">
      <c r="A122" t="str">
        <v>TRX0038</v>
      </c>
      <c r="B122">
        <v>45726</v>
      </c>
      <c r="C122" t="str">
        <v>CUST035</v>
      </c>
      <c r="D122" t="str">
        <v>Harry Morgan</v>
      </c>
      <c r="E122" t="str">
        <v>P009</v>
      </c>
      <c r="F122" t="str">
        <v>Monitor</v>
      </c>
      <c r="G122" t="str">
        <v>Electronics</v>
      </c>
      <c r="H122">
        <v>1</v>
      </c>
      <c r="I122">
        <v>249.99</v>
      </c>
      <c r="J122" t="str">
        <v>Cash</v>
      </c>
      <c r="K122" t="str">
        <v>North</v>
      </c>
      <c r="L122" t="str">
        <v>Standard</v>
      </c>
      <c r="M122">
        <v>45117</v>
      </c>
      <c r="N122">
        <v>249.99</v>
      </c>
    </row>
    <row r="123" spans="1:14" x14ac:dyDescent="0.3">
      <c r="A123" t="str">
        <v>TRX0124</v>
      </c>
      <c r="B123">
        <v>45737</v>
      </c>
      <c r="C123" t="str">
        <v>CUST040</v>
      </c>
      <c r="D123" t="str">
        <v>Sharon Butler</v>
      </c>
      <c r="E123" t="str">
        <v>P001</v>
      </c>
      <c r="F123" t="str">
        <v>Laptop</v>
      </c>
      <c r="G123" t="str">
        <v>Electronics</v>
      </c>
      <c r="H123">
        <v>3</v>
      </c>
      <c r="I123">
        <v>899.99</v>
      </c>
      <c r="J123" t="str">
        <v>Debit Card</v>
      </c>
      <c r="K123" t="str">
        <v>North</v>
      </c>
      <c r="L123" t="str">
        <v>Premium</v>
      </c>
      <c r="M123">
        <v>44876</v>
      </c>
      <c r="N123">
        <v>2699.97</v>
      </c>
    </row>
    <row r="124" spans="1:14" x14ac:dyDescent="0.3">
      <c r="A124" t="str">
        <v>TRX0013</v>
      </c>
      <c r="B124">
        <v>45737</v>
      </c>
      <c r="C124" t="str">
        <v>CUST024</v>
      </c>
      <c r="D124" t="str">
        <v>Dorothy Nelson</v>
      </c>
      <c r="E124" t="str">
        <v>P001</v>
      </c>
      <c r="F124" t="str">
        <v>Laptop</v>
      </c>
      <c r="G124" t="str">
        <v>Electronics</v>
      </c>
      <c r="H124">
        <v>3</v>
      </c>
      <c r="I124">
        <v>899.99</v>
      </c>
      <c r="J124" t="str">
        <v>PayPal</v>
      </c>
      <c r="K124" t="str">
        <v>North</v>
      </c>
      <c r="L124" t="str">
        <v>Basic</v>
      </c>
      <c r="M124">
        <v>44975</v>
      </c>
      <c r="N124">
        <v>2699.97</v>
      </c>
    </row>
    <row r="125" spans="1:14" x14ac:dyDescent="0.3">
      <c r="A125" t="str">
        <v>TRX0213</v>
      </c>
      <c r="B125">
        <v>45745</v>
      </c>
      <c r="C125" t="str">
        <v>CUST020</v>
      </c>
      <c r="D125" t="str">
        <v>Margaret Wright</v>
      </c>
      <c r="E125" t="str">
        <v>P010</v>
      </c>
      <c r="F125" t="str">
        <v>Keyboard</v>
      </c>
      <c r="G125" t="str">
        <v>Electronics</v>
      </c>
      <c r="H125">
        <v>5</v>
      </c>
      <c r="I125">
        <v>89.99</v>
      </c>
      <c r="J125" t="str">
        <v>PayPal</v>
      </c>
      <c r="K125" t="str">
        <v>South</v>
      </c>
      <c r="L125" t="str">
        <v>Basic</v>
      </c>
      <c r="M125">
        <v>44704</v>
      </c>
      <c r="N125">
        <v>449.95</v>
      </c>
    </row>
    <row r="126" spans="1:14" x14ac:dyDescent="0.3">
      <c r="A126" t="str">
        <v>TRX0250</v>
      </c>
      <c r="B126">
        <v>45746</v>
      </c>
      <c r="C126" t="str">
        <v>CUST026</v>
      </c>
      <c r="D126" t="str">
        <v>Karen Hill</v>
      </c>
      <c r="E126" t="str">
        <v>P010</v>
      </c>
      <c r="F126" t="str">
        <v>Keyboard</v>
      </c>
      <c r="G126" t="str">
        <v>Electronics</v>
      </c>
      <c r="H126">
        <v>2</v>
      </c>
      <c r="I126">
        <v>89.99</v>
      </c>
      <c r="J126" t="str">
        <v>Debit Card</v>
      </c>
      <c r="K126" t="str">
        <v>West</v>
      </c>
      <c r="L126" t="str">
        <v>Premium</v>
      </c>
      <c r="M126">
        <v>44522</v>
      </c>
      <c r="N126">
        <v>179.98</v>
      </c>
    </row>
    <row r="127" spans="1:14" x14ac:dyDescent="0.3">
      <c r="A127" t="str">
        <v>TRX0068</v>
      </c>
      <c r="B127">
        <v>45748</v>
      </c>
      <c r="C127" t="str">
        <v>CUST044</v>
      </c>
      <c r="D127" t="str">
        <v>Cynthia Price</v>
      </c>
      <c r="E127" t="str">
        <v>P002</v>
      </c>
      <c r="F127" t="str">
        <v>Smartphone</v>
      </c>
      <c r="G127" t="str">
        <v>Electronics</v>
      </c>
      <c r="H127">
        <v>2</v>
      </c>
      <c r="I127">
        <v>699.99</v>
      </c>
      <c r="J127" t="str">
        <v>PayPal</v>
      </c>
      <c r="K127" t="str">
        <v>North</v>
      </c>
      <c r="L127" t="str">
        <v>Standard</v>
      </c>
      <c r="M127">
        <v>44618</v>
      </c>
      <c r="N127">
        <v>1399.98</v>
      </c>
    </row>
    <row r="128" spans="1:14" x14ac:dyDescent="0.3">
      <c r="A128" t="str">
        <v>TRX0144</v>
      </c>
      <c r="B128">
        <v>45749</v>
      </c>
      <c r="C128" t="str">
        <v>CUST029</v>
      </c>
      <c r="D128" t="str">
        <v>Edward Mitchell</v>
      </c>
      <c r="E128" t="str">
        <v>P001</v>
      </c>
      <c r="F128" t="str">
        <v>Laptop</v>
      </c>
      <c r="G128" t="str">
        <v>Electronics</v>
      </c>
      <c r="H128">
        <v>3</v>
      </c>
      <c r="I128">
        <v>899.99</v>
      </c>
      <c r="J128" t="str">
        <v>Cash</v>
      </c>
      <c r="K128" t="str">
        <v>Central</v>
      </c>
      <c r="L128" t="str">
        <v>Standard</v>
      </c>
      <c r="M128">
        <v>44953</v>
      </c>
      <c r="N128">
        <v>2699.97</v>
      </c>
    </row>
    <row r="129" spans="1:14" x14ac:dyDescent="0.3">
      <c r="A129" t="str">
        <v>TRX0116</v>
      </c>
      <c r="B129">
        <v>45756</v>
      </c>
      <c r="C129" t="str">
        <v>CUST009</v>
      </c>
      <c r="D129" t="str">
        <v>Robert Thomas</v>
      </c>
      <c r="E129" t="str">
        <v>P010</v>
      </c>
      <c r="F129" t="str">
        <v>Keyboard</v>
      </c>
      <c r="G129" t="str">
        <v>Electronics</v>
      </c>
      <c r="H129">
        <v>1</v>
      </c>
      <c r="I129">
        <v>89.99</v>
      </c>
      <c r="J129" t="str">
        <v>Debit Card</v>
      </c>
      <c r="K129" t="str">
        <v>East</v>
      </c>
      <c r="L129" t="str">
        <v>Basic</v>
      </c>
      <c r="M129">
        <v>45346</v>
      </c>
      <c r="N129">
        <v>89.99</v>
      </c>
    </row>
    <row r="130" spans="1:14" x14ac:dyDescent="0.3">
      <c r="A130" t="str">
        <v>TRX0120</v>
      </c>
      <c r="B130">
        <v>45758</v>
      </c>
      <c r="C130" t="str">
        <v>CUST045</v>
      </c>
      <c r="D130" t="str">
        <v>Douglas Watson</v>
      </c>
      <c r="E130" t="str">
        <v>P002</v>
      </c>
      <c r="F130" t="str">
        <v>Smartphone</v>
      </c>
      <c r="G130" t="str">
        <v>Electronics</v>
      </c>
      <c r="H130">
        <v>3</v>
      </c>
      <c r="I130">
        <v>699.99</v>
      </c>
      <c r="J130" t="str">
        <v>PayPal</v>
      </c>
      <c r="K130" t="str">
        <v>North</v>
      </c>
      <c r="L130" t="str">
        <v>Basic</v>
      </c>
      <c r="M130">
        <v>44909</v>
      </c>
      <c r="N130">
        <v>2099.9699999999998</v>
      </c>
    </row>
    <row r="131" spans="1:14" x14ac:dyDescent="0.3">
      <c r="A131" t="str">
        <v>TRX0103</v>
      </c>
      <c r="B131">
        <v>45758</v>
      </c>
      <c r="C131" t="str">
        <v>CUST039</v>
      </c>
      <c r="D131" t="str">
        <v>Lawrence Reed</v>
      </c>
      <c r="E131" t="str">
        <v>P010</v>
      </c>
      <c r="F131" t="str">
        <v>Keyboard</v>
      </c>
      <c r="G131" t="str">
        <v>Electronics</v>
      </c>
      <c r="H131">
        <v>2</v>
      </c>
      <c r="I131">
        <v>89.99</v>
      </c>
      <c r="J131" t="str">
        <v>Debit Card</v>
      </c>
      <c r="K131" t="str">
        <v>East</v>
      </c>
      <c r="L131" t="str">
        <v>Basic</v>
      </c>
      <c r="M131">
        <v>45088</v>
      </c>
      <c r="N131">
        <v>179.98</v>
      </c>
    </row>
    <row r="132" spans="1:14" x14ac:dyDescent="0.3">
      <c r="A132" t="str">
        <v>TRX0064</v>
      </c>
      <c r="B132">
        <v>45758</v>
      </c>
      <c r="C132" t="str">
        <v>CUST031</v>
      </c>
      <c r="D132" t="str">
        <v>Steven Turner</v>
      </c>
      <c r="E132" t="str">
        <v>P010</v>
      </c>
      <c r="F132" t="str">
        <v>Keyboard</v>
      </c>
      <c r="G132" t="str">
        <v>Electronics</v>
      </c>
      <c r="H132">
        <v>3</v>
      </c>
      <c r="I132">
        <v>89.99</v>
      </c>
      <c r="J132" t="str">
        <v>Debit Card</v>
      </c>
      <c r="K132" t="str">
        <v>North</v>
      </c>
      <c r="L132" t="str">
        <v>Premium</v>
      </c>
      <c r="M132">
        <v>44878</v>
      </c>
      <c r="N132">
        <v>269.97000000000003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
  <sheetViews>
    <sheetView topLeftCell="W1" zoomScaleNormal="85" workbookViewId="0">
      <selection activeCell="T4" sqref="T4"/>
    </sheetView>
  </sheetViews>
  <sheetFormatPr defaultColWidth="14.44140625" defaultRowHeight="15" customHeight="1" x14ac:dyDescent="0.3"/>
  <cols>
    <col min="1" max="1" width="16.109375" customWidth="1"/>
    <col min="2" max="2" width="10.88671875" customWidth="1"/>
    <col min="3" max="3" width="14.5546875" customWidth="1"/>
    <col min="4" max="4" width="18" customWidth="1"/>
    <col min="5" max="5" width="12.88671875" customWidth="1"/>
    <col min="6" max="6" width="16.33203125" customWidth="1"/>
    <col min="7" max="7" width="11" customWidth="1"/>
    <col min="8" max="8" width="10.88671875" customWidth="1"/>
    <col min="9" max="9" width="12.44140625" customWidth="1"/>
    <col min="10" max="10" width="19.109375" customWidth="1"/>
    <col min="11" max="11" width="9.33203125" customWidth="1"/>
    <col min="12" max="12" width="20.5546875" customWidth="1"/>
    <col min="13" max="13" width="17.44140625" customWidth="1"/>
    <col min="14" max="15" width="15.6640625" customWidth="1"/>
    <col min="16" max="16" width="8.6640625" style="18" customWidth="1"/>
    <col min="17" max="17" width="15.88671875" style="19" customWidth="1"/>
    <col min="18" max="18" width="14.5546875" customWidth="1"/>
    <col min="19" max="19" width="15.33203125" customWidth="1"/>
    <col min="20" max="26" width="8.6640625" customWidth="1"/>
  </cols>
  <sheetData>
    <row r="1" spans="1:37" ht="14.4" x14ac:dyDescent="0.3">
      <c r="A1" s="4" t="s">
        <v>2</v>
      </c>
      <c r="B1" s="4" t="s">
        <v>3</v>
      </c>
      <c r="C1" s="4" t="s">
        <v>4</v>
      </c>
      <c r="D1" s="4" t="s">
        <v>5</v>
      </c>
      <c r="E1" s="4" t="s">
        <v>6</v>
      </c>
      <c r="F1" s="4" t="s">
        <v>7</v>
      </c>
      <c r="G1" s="4" t="s">
        <v>8</v>
      </c>
      <c r="H1" s="4" t="s">
        <v>9</v>
      </c>
      <c r="I1" s="4" t="s">
        <v>10</v>
      </c>
      <c r="J1" s="4" t="s">
        <v>11</v>
      </c>
      <c r="K1" s="4" t="s">
        <v>12</v>
      </c>
      <c r="L1" s="4" t="s">
        <v>13</v>
      </c>
      <c r="M1" s="4" t="s">
        <v>14</v>
      </c>
      <c r="N1" s="4" t="s">
        <v>15</v>
      </c>
      <c r="O1" s="20" t="s">
        <v>411</v>
      </c>
      <c r="P1" s="16" t="s">
        <v>404</v>
      </c>
      <c r="Q1" s="17" t="s">
        <v>405</v>
      </c>
      <c r="R1" s="20" t="s">
        <v>406</v>
      </c>
      <c r="S1" s="4"/>
      <c r="T1" s="4"/>
      <c r="U1" s="8" t="s">
        <v>2</v>
      </c>
      <c r="V1" s="7" t="s">
        <v>3</v>
      </c>
      <c r="W1" s="7" t="s">
        <v>4</v>
      </c>
      <c r="X1" s="7" t="s">
        <v>5</v>
      </c>
      <c r="Y1" s="7" t="s">
        <v>6</v>
      </c>
      <c r="Z1" s="7" t="s">
        <v>7</v>
      </c>
      <c r="AA1" s="7" t="s">
        <v>8</v>
      </c>
      <c r="AB1" s="7" t="s">
        <v>9</v>
      </c>
      <c r="AC1" s="7" t="s">
        <v>10</v>
      </c>
      <c r="AD1" s="7" t="s">
        <v>11</v>
      </c>
      <c r="AE1" s="7" t="s">
        <v>12</v>
      </c>
      <c r="AF1" s="7" t="s">
        <v>13</v>
      </c>
      <c r="AG1" s="7" t="s">
        <v>14</v>
      </c>
      <c r="AH1" s="7" t="s">
        <v>15</v>
      </c>
      <c r="AI1" s="7" t="s">
        <v>401</v>
      </c>
      <c r="AJ1" s="7" t="s">
        <v>402</v>
      </c>
      <c r="AK1" s="15" t="s">
        <v>403</v>
      </c>
    </row>
    <row r="2" spans="1:37" ht="14.4" x14ac:dyDescent="0.3">
      <c r="A2" s="5" t="s">
        <v>16</v>
      </c>
      <c r="B2" s="6">
        <v>45393</v>
      </c>
      <c r="C2" s="5" t="s">
        <v>17</v>
      </c>
      <c r="D2" s="5" t="s">
        <v>18</v>
      </c>
      <c r="E2" s="5" t="s">
        <v>19</v>
      </c>
      <c r="F2" s="5" t="s">
        <v>20</v>
      </c>
      <c r="G2" s="5" t="s">
        <v>21</v>
      </c>
      <c r="H2" s="5">
        <v>3</v>
      </c>
      <c r="I2" s="5">
        <v>249.99</v>
      </c>
      <c r="J2" s="5" t="s">
        <v>22</v>
      </c>
      <c r="K2" s="5" t="s">
        <v>23</v>
      </c>
      <c r="L2" s="5" t="s">
        <v>24</v>
      </c>
      <c r="M2" s="6">
        <v>44425</v>
      </c>
      <c r="N2" s="5">
        <v>749.97</v>
      </c>
      <c r="O2" s="5" t="str">
        <f>TEXT(Table2[[#This Row],[Date]],"mmm")</f>
        <v>Apr</v>
      </c>
      <c r="R2">
        <f>SUMIF(Table2[Product_Name],F4,Table2[[#All],[Quantity]])</f>
        <v>98</v>
      </c>
      <c r="S2" s="4"/>
      <c r="U2" s="9"/>
    </row>
    <row r="3" spans="1:37" ht="14.4" x14ac:dyDescent="0.3">
      <c r="A3" s="5" t="s">
        <v>25</v>
      </c>
      <c r="B3" s="6">
        <v>45396</v>
      </c>
      <c r="C3" s="5" t="s">
        <v>26</v>
      </c>
      <c r="D3" s="5" t="s">
        <v>27</v>
      </c>
      <c r="E3" s="5" t="s">
        <v>19</v>
      </c>
      <c r="F3" s="5" t="s">
        <v>20</v>
      </c>
      <c r="G3" s="5" t="s">
        <v>21</v>
      </c>
      <c r="H3" s="5">
        <v>3</v>
      </c>
      <c r="I3" s="5">
        <v>249.99</v>
      </c>
      <c r="J3" s="5" t="s">
        <v>28</v>
      </c>
      <c r="K3" s="5" t="s">
        <v>23</v>
      </c>
      <c r="L3" s="5" t="s">
        <v>29</v>
      </c>
      <c r="M3" s="6">
        <v>44575</v>
      </c>
      <c r="N3" s="5">
        <v>749.97</v>
      </c>
      <c r="O3" s="5" t="str">
        <f>TEXT(Table2[[#This Row],[Date]],"mmm")</f>
        <v>Apr</v>
      </c>
      <c r="R3">
        <f>SUMIF(Table2[Product_Name],F5,Table2[[#All],[Quantity]])</f>
        <v>98</v>
      </c>
      <c r="S3" s="4"/>
    </row>
    <row r="4" spans="1:37" ht="14.4" x14ac:dyDescent="0.3">
      <c r="A4" s="5" t="s">
        <v>30</v>
      </c>
      <c r="B4" s="6">
        <v>45399</v>
      </c>
      <c r="C4" s="5" t="s">
        <v>31</v>
      </c>
      <c r="D4" s="5" t="s">
        <v>32</v>
      </c>
      <c r="E4" s="5" t="s">
        <v>33</v>
      </c>
      <c r="F4" s="5" t="s">
        <v>34</v>
      </c>
      <c r="G4" s="5" t="s">
        <v>35</v>
      </c>
      <c r="H4" s="5">
        <v>3</v>
      </c>
      <c r="I4" s="5">
        <v>59.99</v>
      </c>
      <c r="J4" s="5" t="s">
        <v>36</v>
      </c>
      <c r="K4" s="5" t="s">
        <v>37</v>
      </c>
      <c r="L4" s="5" t="s">
        <v>38</v>
      </c>
      <c r="M4" s="6">
        <v>45262</v>
      </c>
      <c r="N4" s="5">
        <v>179.97</v>
      </c>
      <c r="O4" s="5" t="str">
        <f>TEXT(Table2[[#This Row],[Date]],"mmm")</f>
        <v>Apr</v>
      </c>
      <c r="R4">
        <f>SUMIF(Table2[Product_Name],F6,Table2[[#All],[Quantity]])</f>
        <v>108</v>
      </c>
      <c r="S4" s="4"/>
    </row>
    <row r="5" spans="1:37" ht="14.4" x14ac:dyDescent="0.3">
      <c r="A5" s="5" t="s">
        <v>39</v>
      </c>
      <c r="B5" s="6">
        <v>45400</v>
      </c>
      <c r="C5" s="5" t="s">
        <v>40</v>
      </c>
      <c r="D5" s="5" t="s">
        <v>41</v>
      </c>
      <c r="E5" s="5" t="s">
        <v>33</v>
      </c>
      <c r="F5" s="5" t="s">
        <v>34</v>
      </c>
      <c r="G5" s="5" t="s">
        <v>35</v>
      </c>
      <c r="H5" s="5">
        <v>3</v>
      </c>
      <c r="I5" s="5">
        <v>59.99</v>
      </c>
      <c r="J5" s="5" t="s">
        <v>22</v>
      </c>
      <c r="K5" s="5" t="s">
        <v>42</v>
      </c>
      <c r="L5" s="5" t="s">
        <v>29</v>
      </c>
      <c r="M5" s="6">
        <v>45114</v>
      </c>
      <c r="N5" s="5">
        <v>179.97</v>
      </c>
      <c r="O5" s="5" t="str">
        <f>TEXT(Table2[[#This Row],[Date]],"mmm")</f>
        <v>Apr</v>
      </c>
      <c r="R5">
        <f>SUMIF(Table2[Product_Name],F7,Table2[[#All],[Quantity]])</f>
        <v>98</v>
      </c>
      <c r="S5" s="4"/>
    </row>
    <row r="6" spans="1:37" ht="14.4" x14ac:dyDescent="0.3">
      <c r="A6" s="5" t="s">
        <v>43</v>
      </c>
      <c r="B6" s="6">
        <v>45400</v>
      </c>
      <c r="C6" s="5" t="s">
        <v>44</v>
      </c>
      <c r="D6" s="5" t="s">
        <v>45</v>
      </c>
      <c r="E6" s="5" t="s">
        <v>46</v>
      </c>
      <c r="F6" s="5" t="s">
        <v>47</v>
      </c>
      <c r="G6" s="5" t="s">
        <v>48</v>
      </c>
      <c r="H6" s="5">
        <v>5</v>
      </c>
      <c r="I6" s="5">
        <v>149.99</v>
      </c>
      <c r="J6" s="5" t="s">
        <v>28</v>
      </c>
      <c r="K6" s="5" t="s">
        <v>42</v>
      </c>
      <c r="L6" s="5" t="s">
        <v>29</v>
      </c>
      <c r="M6" s="6">
        <v>45295</v>
      </c>
      <c r="N6" s="5">
        <v>749.95</v>
      </c>
      <c r="O6" s="5" t="str">
        <f>TEXT(Table2[[#This Row],[Date]],"mmm")</f>
        <v>Apr</v>
      </c>
      <c r="R6">
        <f>SUMIF(Table2[Product_Name],F8,Table2[[#All],[Quantity]])</f>
        <v>48</v>
      </c>
      <c r="S6" s="4"/>
    </row>
    <row r="7" spans="1:37" ht="14.4" x14ac:dyDescent="0.3">
      <c r="A7" s="5" t="s">
        <v>49</v>
      </c>
      <c r="B7" s="6">
        <v>45403</v>
      </c>
      <c r="C7" s="5" t="s">
        <v>50</v>
      </c>
      <c r="D7" s="5" t="s">
        <v>51</v>
      </c>
      <c r="E7" s="5" t="s">
        <v>33</v>
      </c>
      <c r="F7" s="5" t="s">
        <v>34</v>
      </c>
      <c r="G7" s="5" t="s">
        <v>35</v>
      </c>
      <c r="H7" s="5">
        <v>2</v>
      </c>
      <c r="I7" s="5">
        <v>59.99</v>
      </c>
      <c r="J7" s="5" t="s">
        <v>22</v>
      </c>
      <c r="K7" s="5" t="s">
        <v>52</v>
      </c>
      <c r="L7" s="5" t="s">
        <v>38</v>
      </c>
      <c r="M7" s="6">
        <v>44746</v>
      </c>
      <c r="N7" s="5">
        <v>119.98</v>
      </c>
      <c r="O7" s="5" t="str">
        <f>TEXT(Table2[[#This Row],[Date]],"mmm")</f>
        <v>Apr</v>
      </c>
      <c r="R7">
        <f>SUMIF(Table2[Product_Name],F9,Table2[[#All],[Quantity]])</f>
        <v>98</v>
      </c>
      <c r="S7" s="4"/>
    </row>
    <row r="8" spans="1:37" ht="14.4" x14ac:dyDescent="0.3">
      <c r="A8" s="5" t="s">
        <v>53</v>
      </c>
      <c r="B8" s="6">
        <v>45403</v>
      </c>
      <c r="C8" s="5" t="s">
        <v>50</v>
      </c>
      <c r="D8" s="5" t="s">
        <v>51</v>
      </c>
      <c r="E8" s="5" t="s">
        <v>54</v>
      </c>
      <c r="F8" s="5" t="s">
        <v>55</v>
      </c>
      <c r="G8" s="5" t="s">
        <v>21</v>
      </c>
      <c r="H8" s="5">
        <v>5</v>
      </c>
      <c r="I8" s="5">
        <v>149.99</v>
      </c>
      <c r="J8" s="5" t="s">
        <v>28</v>
      </c>
      <c r="K8" s="5" t="s">
        <v>23</v>
      </c>
      <c r="L8" s="5" t="s">
        <v>38</v>
      </c>
      <c r="M8" s="6">
        <v>44418</v>
      </c>
      <c r="N8" s="5">
        <v>749.95</v>
      </c>
      <c r="O8" s="5" t="str">
        <f>TEXT(Table2[[#This Row],[Date]],"mmm")</f>
        <v>Apr</v>
      </c>
      <c r="R8">
        <f>SUMIF(Table2[Product_Name],F10,Table2[[#All],[Quantity]])</f>
        <v>67</v>
      </c>
      <c r="S8" s="4"/>
    </row>
    <row r="9" spans="1:37" ht="14.4" x14ac:dyDescent="0.3">
      <c r="A9" s="5" t="s">
        <v>56</v>
      </c>
      <c r="B9" s="6">
        <v>45403</v>
      </c>
      <c r="C9" s="5" t="s">
        <v>57</v>
      </c>
      <c r="D9" s="5" t="s">
        <v>58</v>
      </c>
      <c r="E9" s="5" t="s">
        <v>33</v>
      </c>
      <c r="F9" s="5" t="s">
        <v>34</v>
      </c>
      <c r="G9" s="5" t="s">
        <v>35</v>
      </c>
      <c r="H9" s="5">
        <v>3</v>
      </c>
      <c r="I9" s="5">
        <v>59.99</v>
      </c>
      <c r="J9" s="5" t="s">
        <v>59</v>
      </c>
      <c r="K9" s="5" t="s">
        <v>37</v>
      </c>
      <c r="L9" s="5" t="s">
        <v>24</v>
      </c>
      <c r="M9" s="6">
        <v>45007</v>
      </c>
      <c r="N9" s="5">
        <v>179.97</v>
      </c>
      <c r="O9" s="5" t="str">
        <f>TEXT(Table2[[#This Row],[Date]],"mmm")</f>
        <v>Apr</v>
      </c>
      <c r="R9">
        <f>SUMIF(Table2[Product_Name],F11,Table2[[#All],[Quantity]])</f>
        <v>98</v>
      </c>
      <c r="S9" s="4"/>
    </row>
    <row r="10" spans="1:37" ht="14.4" x14ac:dyDescent="0.3">
      <c r="A10" s="5" t="s">
        <v>60</v>
      </c>
      <c r="B10" s="6">
        <v>45405</v>
      </c>
      <c r="C10" s="5" t="s">
        <v>61</v>
      </c>
      <c r="D10" s="5" t="s">
        <v>62</v>
      </c>
      <c r="E10" s="5" t="s">
        <v>63</v>
      </c>
      <c r="F10" s="5" t="s">
        <v>64</v>
      </c>
      <c r="G10" s="5" t="s">
        <v>21</v>
      </c>
      <c r="H10" s="5">
        <v>3</v>
      </c>
      <c r="I10" s="5">
        <v>899.99</v>
      </c>
      <c r="J10" s="5" t="s">
        <v>36</v>
      </c>
      <c r="K10" s="5" t="s">
        <v>65</v>
      </c>
      <c r="L10" s="5" t="s">
        <v>38</v>
      </c>
      <c r="M10" s="6">
        <v>45299</v>
      </c>
      <c r="N10" s="5">
        <v>2699.97</v>
      </c>
      <c r="O10" s="5" t="str">
        <f>TEXT(Table2[[#This Row],[Date]],"mmm")</f>
        <v>Apr</v>
      </c>
      <c r="R10">
        <f>SUMIF(Table2[Product_Name],F12,Table2[[#All],[Quantity]])</f>
        <v>108</v>
      </c>
      <c r="S10" s="4"/>
    </row>
    <row r="11" spans="1:37" ht="14.4" x14ac:dyDescent="0.3">
      <c r="A11" s="5" t="s">
        <v>66</v>
      </c>
      <c r="B11" s="6">
        <v>45408</v>
      </c>
      <c r="C11" s="5" t="s">
        <v>67</v>
      </c>
      <c r="D11" s="5" t="s">
        <v>68</v>
      </c>
      <c r="E11" s="5" t="s">
        <v>33</v>
      </c>
      <c r="F11" s="5" t="s">
        <v>34</v>
      </c>
      <c r="G11" s="5" t="s">
        <v>35</v>
      </c>
      <c r="H11" s="5">
        <v>3</v>
      </c>
      <c r="I11" s="5">
        <v>59.99</v>
      </c>
      <c r="J11" s="5" t="s">
        <v>22</v>
      </c>
      <c r="K11" s="5" t="s">
        <v>52</v>
      </c>
      <c r="L11" s="5" t="s">
        <v>29</v>
      </c>
      <c r="M11" s="6">
        <v>45207</v>
      </c>
      <c r="N11" s="5">
        <v>179.97</v>
      </c>
      <c r="O11" s="5" t="str">
        <f>TEXT(Table2[[#This Row],[Date]],"mmm")</f>
        <v>Apr</v>
      </c>
      <c r="R11">
        <f>SUMIF(Table2[Product_Name],F13,Table2[[#All],[Quantity]])</f>
        <v>108</v>
      </c>
      <c r="S11" s="4"/>
    </row>
    <row r="12" spans="1:37" ht="14.4" x14ac:dyDescent="0.3">
      <c r="A12" s="5" t="s">
        <v>69</v>
      </c>
      <c r="B12" s="6">
        <v>45408</v>
      </c>
      <c r="C12" s="5" t="s">
        <v>70</v>
      </c>
      <c r="D12" s="5" t="s">
        <v>71</v>
      </c>
      <c r="E12" s="5" t="s">
        <v>46</v>
      </c>
      <c r="F12" s="5" t="s">
        <v>47</v>
      </c>
      <c r="G12" s="5" t="s">
        <v>48</v>
      </c>
      <c r="H12" s="5">
        <v>1</v>
      </c>
      <c r="I12" s="5">
        <v>149.99</v>
      </c>
      <c r="J12" s="5" t="s">
        <v>28</v>
      </c>
      <c r="K12" s="5" t="s">
        <v>52</v>
      </c>
      <c r="L12" s="5" t="s">
        <v>38</v>
      </c>
      <c r="M12" s="6">
        <v>45103</v>
      </c>
      <c r="N12" s="5">
        <v>149.99</v>
      </c>
      <c r="O12" s="5" t="str">
        <f>TEXT(Table2[[#This Row],[Date]],"mmm")</f>
        <v>Apr</v>
      </c>
      <c r="R12">
        <f>SUMIF(Table2[Product_Name],F14,Table2[[#All],[Quantity]])</f>
        <v>108</v>
      </c>
      <c r="S12" s="4"/>
    </row>
    <row r="13" spans="1:37" ht="14.4" x14ac:dyDescent="0.3">
      <c r="A13" s="5" t="s">
        <v>72</v>
      </c>
      <c r="B13" s="6">
        <v>45408</v>
      </c>
      <c r="C13" s="5" t="s">
        <v>40</v>
      </c>
      <c r="D13" s="5" t="s">
        <v>41</v>
      </c>
      <c r="E13" s="5" t="s">
        <v>46</v>
      </c>
      <c r="F13" s="5" t="s">
        <v>47</v>
      </c>
      <c r="G13" s="5" t="s">
        <v>48</v>
      </c>
      <c r="H13" s="5">
        <v>5</v>
      </c>
      <c r="I13" s="5">
        <v>149.99</v>
      </c>
      <c r="J13" s="5" t="s">
        <v>59</v>
      </c>
      <c r="K13" s="5" t="s">
        <v>42</v>
      </c>
      <c r="L13" s="5" t="s">
        <v>24</v>
      </c>
      <c r="M13" s="6">
        <v>44830</v>
      </c>
      <c r="N13" s="5">
        <v>749.95</v>
      </c>
      <c r="O13" s="5" t="str">
        <f>TEXT(Table2[[#This Row],[Date]],"mmm")</f>
        <v>Apr</v>
      </c>
      <c r="R13">
        <f>SUMIF(Table2[Product_Name],F15,Table2[[#All],[Quantity]])</f>
        <v>98</v>
      </c>
      <c r="S13" s="4"/>
    </row>
    <row r="14" spans="1:37" ht="14.4" x14ac:dyDescent="0.3">
      <c r="A14" s="5" t="s">
        <v>73</v>
      </c>
      <c r="B14" s="6">
        <v>45408</v>
      </c>
      <c r="C14" s="5" t="s">
        <v>74</v>
      </c>
      <c r="D14" s="5" t="s">
        <v>75</v>
      </c>
      <c r="E14" s="5" t="s">
        <v>46</v>
      </c>
      <c r="F14" s="5" t="s">
        <v>47</v>
      </c>
      <c r="G14" s="5" t="s">
        <v>48</v>
      </c>
      <c r="H14" s="5">
        <v>3</v>
      </c>
      <c r="I14" s="5">
        <v>149.99</v>
      </c>
      <c r="J14" s="5" t="s">
        <v>22</v>
      </c>
      <c r="K14" s="5" t="s">
        <v>42</v>
      </c>
      <c r="L14" s="5" t="s">
        <v>29</v>
      </c>
      <c r="M14" s="6">
        <v>44806</v>
      </c>
      <c r="N14" s="5">
        <v>449.97</v>
      </c>
      <c r="O14" s="5" t="str">
        <f>TEXT(Table2[[#This Row],[Date]],"mmm")</f>
        <v>Apr</v>
      </c>
      <c r="R14">
        <f>SUMIF(Table2[Product_Name],F16,Table2[[#All],[Quantity]])</f>
        <v>84</v>
      </c>
      <c r="S14" s="4"/>
    </row>
    <row r="15" spans="1:37" ht="14.4" x14ac:dyDescent="0.3">
      <c r="A15" s="5" t="s">
        <v>76</v>
      </c>
      <c r="B15" s="6">
        <v>45409</v>
      </c>
      <c r="C15" s="5" t="s">
        <v>77</v>
      </c>
      <c r="D15" s="5" t="s">
        <v>78</v>
      </c>
      <c r="E15" s="5" t="s">
        <v>33</v>
      </c>
      <c r="F15" s="5" t="s">
        <v>34</v>
      </c>
      <c r="G15" s="5" t="s">
        <v>35</v>
      </c>
      <c r="H15" s="5">
        <v>3</v>
      </c>
      <c r="I15" s="5">
        <v>59.99</v>
      </c>
      <c r="J15" s="5" t="s">
        <v>28</v>
      </c>
      <c r="K15" s="5" t="s">
        <v>42</v>
      </c>
      <c r="L15" s="5" t="s">
        <v>38</v>
      </c>
      <c r="M15" s="6">
        <v>45351</v>
      </c>
      <c r="N15" s="5">
        <v>179.97</v>
      </c>
      <c r="O15" s="5" t="str">
        <f>TEXT(Table2[[#This Row],[Date]],"mmm")</f>
        <v>Apr</v>
      </c>
      <c r="R15">
        <f>SUMIF(Table2[Product_Name],F17,Table2[[#All],[Quantity]])</f>
        <v>67</v>
      </c>
      <c r="S15" s="4"/>
    </row>
    <row r="16" spans="1:37" ht="14.4" x14ac:dyDescent="0.3">
      <c r="A16" s="5" t="s">
        <v>79</v>
      </c>
      <c r="B16" s="6">
        <v>45409</v>
      </c>
      <c r="C16" s="5" t="s">
        <v>80</v>
      </c>
      <c r="D16" s="5" t="s">
        <v>81</v>
      </c>
      <c r="E16" s="5" t="s">
        <v>82</v>
      </c>
      <c r="F16" s="5" t="s">
        <v>83</v>
      </c>
      <c r="G16" s="5" t="s">
        <v>21</v>
      </c>
      <c r="H16" s="5">
        <v>3</v>
      </c>
      <c r="I16" s="5">
        <v>699.99</v>
      </c>
      <c r="J16" s="5" t="s">
        <v>28</v>
      </c>
      <c r="K16" s="5" t="s">
        <v>52</v>
      </c>
      <c r="L16" s="5" t="s">
        <v>24</v>
      </c>
      <c r="M16" s="6">
        <v>44577</v>
      </c>
      <c r="N16" s="5">
        <v>2099.9699999999998</v>
      </c>
      <c r="O16" s="5" t="str">
        <f>TEXT(Table2[[#This Row],[Date]],"mmm")</f>
        <v>Apr</v>
      </c>
      <c r="R16">
        <f>SUMIF(Table2[Product_Name],F18,Table2[[#All],[Quantity]])</f>
        <v>108</v>
      </c>
      <c r="S16" s="4"/>
    </row>
    <row r="17" spans="1:19" ht="14.4" x14ac:dyDescent="0.3">
      <c r="A17" s="5" t="s">
        <v>84</v>
      </c>
      <c r="B17" s="6">
        <v>45409</v>
      </c>
      <c r="C17" s="5" t="s">
        <v>85</v>
      </c>
      <c r="D17" s="5" t="s">
        <v>86</v>
      </c>
      <c r="E17" s="5" t="s">
        <v>63</v>
      </c>
      <c r="F17" s="5" t="s">
        <v>64</v>
      </c>
      <c r="G17" s="5" t="s">
        <v>21</v>
      </c>
      <c r="H17" s="5">
        <v>1</v>
      </c>
      <c r="I17" s="5">
        <v>899.99</v>
      </c>
      <c r="J17" s="5" t="s">
        <v>59</v>
      </c>
      <c r="K17" s="5" t="s">
        <v>42</v>
      </c>
      <c r="L17" s="5" t="s">
        <v>38</v>
      </c>
      <c r="M17" s="6">
        <v>44920</v>
      </c>
      <c r="N17" s="5">
        <v>899.99</v>
      </c>
      <c r="O17" s="5" t="str">
        <f>TEXT(Table2[[#This Row],[Date]],"mmm")</f>
        <v>Apr</v>
      </c>
      <c r="R17">
        <f>SUMIF(Table2[Product_Name],F19,Table2[[#All],[Quantity]])</f>
        <v>84</v>
      </c>
      <c r="S17" s="4"/>
    </row>
    <row r="18" spans="1:19" ht="14.4" x14ac:dyDescent="0.3">
      <c r="A18" s="5" t="s">
        <v>87</v>
      </c>
      <c r="B18" s="6">
        <v>45410</v>
      </c>
      <c r="C18" s="5" t="s">
        <v>88</v>
      </c>
      <c r="D18" s="5" t="s">
        <v>89</v>
      </c>
      <c r="E18" s="5" t="s">
        <v>46</v>
      </c>
      <c r="F18" s="5" t="s">
        <v>47</v>
      </c>
      <c r="G18" s="5" t="s">
        <v>48</v>
      </c>
      <c r="H18" s="5">
        <v>4</v>
      </c>
      <c r="I18" s="5">
        <v>149.99</v>
      </c>
      <c r="J18" s="5" t="s">
        <v>59</v>
      </c>
      <c r="K18" s="5" t="s">
        <v>42</v>
      </c>
      <c r="L18" s="5" t="s">
        <v>29</v>
      </c>
      <c r="M18" s="6">
        <v>45374</v>
      </c>
      <c r="N18" s="5">
        <v>599.96</v>
      </c>
      <c r="O18" s="5" t="str">
        <f>TEXT(Table2[[#This Row],[Date]],"mmm")</f>
        <v>Apr</v>
      </c>
      <c r="R18">
        <f>SUMIF(Table2[Product_Name],F20,Table2[[#All],[Quantity]])</f>
        <v>67</v>
      </c>
      <c r="S18" s="4"/>
    </row>
    <row r="19" spans="1:19" ht="14.4" x14ac:dyDescent="0.3">
      <c r="A19" s="5" t="s">
        <v>90</v>
      </c>
      <c r="B19" s="6">
        <v>45410</v>
      </c>
      <c r="C19" s="5" t="s">
        <v>91</v>
      </c>
      <c r="D19" s="5" t="s">
        <v>92</v>
      </c>
      <c r="E19" s="5" t="s">
        <v>82</v>
      </c>
      <c r="F19" s="5" t="s">
        <v>83</v>
      </c>
      <c r="G19" s="5" t="s">
        <v>21</v>
      </c>
      <c r="H19" s="5">
        <v>2</v>
      </c>
      <c r="I19" s="5">
        <v>699.99</v>
      </c>
      <c r="J19" s="5" t="s">
        <v>22</v>
      </c>
      <c r="K19" s="5" t="s">
        <v>42</v>
      </c>
      <c r="L19" s="5" t="s">
        <v>24</v>
      </c>
      <c r="M19" s="6">
        <v>44781</v>
      </c>
      <c r="N19" s="5">
        <v>1399.98</v>
      </c>
      <c r="O19" s="5" t="str">
        <f>TEXT(Table2[[#This Row],[Date]],"mmm")</f>
        <v>Apr</v>
      </c>
      <c r="R19">
        <f>SUMIF(Table2[Product_Name],F21,Table2[[#All],[Quantity]])</f>
        <v>86</v>
      </c>
      <c r="S19" s="4"/>
    </row>
    <row r="20" spans="1:19" ht="14.4" x14ac:dyDescent="0.3">
      <c r="A20" s="5" t="s">
        <v>93</v>
      </c>
      <c r="B20" s="6">
        <v>45410</v>
      </c>
      <c r="C20" s="5" t="s">
        <v>88</v>
      </c>
      <c r="D20" s="5" t="s">
        <v>89</v>
      </c>
      <c r="E20" s="5" t="s">
        <v>63</v>
      </c>
      <c r="F20" s="5" t="s">
        <v>64</v>
      </c>
      <c r="G20" s="5" t="s">
        <v>21</v>
      </c>
      <c r="H20" s="5">
        <v>4</v>
      </c>
      <c r="I20" s="5">
        <v>899.99</v>
      </c>
      <c r="J20" s="5" t="s">
        <v>28</v>
      </c>
      <c r="K20" s="5" t="s">
        <v>52</v>
      </c>
      <c r="L20" s="5" t="s">
        <v>38</v>
      </c>
      <c r="M20" s="6">
        <v>45327</v>
      </c>
      <c r="N20" s="5">
        <v>3599.96</v>
      </c>
      <c r="O20" s="5" t="str">
        <f>TEXT(Table2[[#This Row],[Date]],"mmm")</f>
        <v>Apr</v>
      </c>
      <c r="R20">
        <f>SUMIF(Table2[Product_Name],F22,Table2[[#All],[Quantity]])</f>
        <v>84</v>
      </c>
      <c r="S20" s="4"/>
    </row>
    <row r="21" spans="1:19" ht="15.75" customHeight="1" x14ac:dyDescent="0.3">
      <c r="A21" s="5" t="s">
        <v>94</v>
      </c>
      <c r="B21" s="6">
        <v>45410</v>
      </c>
      <c r="C21" s="5" t="s">
        <v>95</v>
      </c>
      <c r="D21" s="5" t="s">
        <v>96</v>
      </c>
      <c r="E21" s="5" t="s">
        <v>19</v>
      </c>
      <c r="F21" s="5" t="s">
        <v>20</v>
      </c>
      <c r="G21" s="5" t="s">
        <v>21</v>
      </c>
      <c r="H21" s="5">
        <v>3</v>
      </c>
      <c r="I21" s="5">
        <v>249.99</v>
      </c>
      <c r="J21" s="5" t="s">
        <v>28</v>
      </c>
      <c r="K21" s="5" t="s">
        <v>42</v>
      </c>
      <c r="L21" s="5" t="s">
        <v>29</v>
      </c>
      <c r="M21" s="6">
        <v>45224</v>
      </c>
      <c r="N21" s="5">
        <v>749.97</v>
      </c>
      <c r="O21" s="5" t="str">
        <f>TEXT(Table2[[#This Row],[Date]],"mmm")</f>
        <v>Apr</v>
      </c>
      <c r="R21">
        <f>SUMIF(Table2[Product_Name],F23,Table2[[#All],[Quantity]])</f>
        <v>84</v>
      </c>
      <c r="S21" s="4"/>
    </row>
    <row r="22" spans="1:19" ht="15.75" customHeight="1" x14ac:dyDescent="0.3">
      <c r="A22" s="5" t="s">
        <v>97</v>
      </c>
      <c r="B22" s="6">
        <v>45412</v>
      </c>
      <c r="C22" s="5" t="s">
        <v>98</v>
      </c>
      <c r="D22" s="5" t="s">
        <v>99</v>
      </c>
      <c r="E22" s="5" t="s">
        <v>82</v>
      </c>
      <c r="F22" s="5" t="s">
        <v>83</v>
      </c>
      <c r="G22" s="5" t="s">
        <v>21</v>
      </c>
      <c r="H22" s="5">
        <v>5</v>
      </c>
      <c r="I22" s="5">
        <v>699.99</v>
      </c>
      <c r="J22" s="5" t="s">
        <v>22</v>
      </c>
      <c r="K22" s="5" t="s">
        <v>52</v>
      </c>
      <c r="L22" s="5" t="s">
        <v>24</v>
      </c>
      <c r="M22" s="6">
        <v>45167</v>
      </c>
      <c r="N22" s="5">
        <v>3499.95</v>
      </c>
      <c r="O22" s="5" t="str">
        <f>TEXT(Table2[[#This Row],[Date]],"mmm")</f>
        <v>Apr</v>
      </c>
      <c r="R22">
        <f>SUMIF(Table2[Product_Name],F24,Table2[[#All],[Quantity]])</f>
        <v>86</v>
      </c>
    </row>
    <row r="23" spans="1:19" ht="15.75" customHeight="1" x14ac:dyDescent="0.3">
      <c r="A23" s="5" t="s">
        <v>100</v>
      </c>
      <c r="B23" s="6">
        <v>45413</v>
      </c>
      <c r="C23" s="5" t="s">
        <v>101</v>
      </c>
      <c r="D23" s="5" t="s">
        <v>102</v>
      </c>
      <c r="E23" s="5" t="s">
        <v>82</v>
      </c>
      <c r="F23" s="5" t="s">
        <v>83</v>
      </c>
      <c r="G23" s="5" t="s">
        <v>21</v>
      </c>
      <c r="H23" s="5">
        <v>4</v>
      </c>
      <c r="I23" s="5">
        <v>699.99</v>
      </c>
      <c r="J23" s="5" t="s">
        <v>22</v>
      </c>
      <c r="K23" s="5" t="s">
        <v>65</v>
      </c>
      <c r="L23" s="5" t="s">
        <v>38</v>
      </c>
      <c r="M23" s="6">
        <v>44409</v>
      </c>
      <c r="N23" s="5">
        <v>2799.96</v>
      </c>
      <c r="O23" s="5" t="str">
        <f>TEXT(Table2[[#This Row],[Date]],"mmm")</f>
        <v>May</v>
      </c>
      <c r="R23">
        <f>SUMIF(Table2[Product_Name],F25,Table2[[#All],[Quantity]])</f>
        <v>67</v>
      </c>
    </row>
    <row r="24" spans="1:19" ht="15.75" customHeight="1" x14ac:dyDescent="0.3">
      <c r="A24" s="5" t="s">
        <v>103</v>
      </c>
      <c r="B24" s="6">
        <v>45415</v>
      </c>
      <c r="C24" s="5" t="s">
        <v>104</v>
      </c>
      <c r="D24" s="5" t="s">
        <v>105</v>
      </c>
      <c r="E24" s="5" t="s">
        <v>19</v>
      </c>
      <c r="F24" s="5" t="s">
        <v>20</v>
      </c>
      <c r="G24" s="5" t="s">
        <v>21</v>
      </c>
      <c r="H24" s="5">
        <v>4</v>
      </c>
      <c r="I24" s="5">
        <v>249.99</v>
      </c>
      <c r="J24" s="5" t="s">
        <v>36</v>
      </c>
      <c r="K24" s="5" t="s">
        <v>42</v>
      </c>
      <c r="L24" s="5" t="s">
        <v>38</v>
      </c>
      <c r="M24" s="6">
        <v>44468</v>
      </c>
      <c r="N24" s="5">
        <v>999.96</v>
      </c>
      <c r="O24" s="5" t="str">
        <f>TEXT(Table2[[#This Row],[Date]],"mmm")</f>
        <v>May</v>
      </c>
      <c r="R24">
        <f>SUMIF(Table2[Product_Name],F26,Table2[[#All],[Quantity]])</f>
        <v>86</v>
      </c>
    </row>
    <row r="25" spans="1:19" ht="15.75" customHeight="1" x14ac:dyDescent="0.3">
      <c r="A25" s="5" t="s">
        <v>106</v>
      </c>
      <c r="B25" s="6">
        <v>45416</v>
      </c>
      <c r="C25" s="5" t="s">
        <v>88</v>
      </c>
      <c r="D25" s="5" t="s">
        <v>89</v>
      </c>
      <c r="E25" s="5" t="s">
        <v>107</v>
      </c>
      <c r="F25" s="5" t="s">
        <v>108</v>
      </c>
      <c r="G25" s="5" t="s">
        <v>48</v>
      </c>
      <c r="H25" s="5">
        <v>4</v>
      </c>
      <c r="I25" s="5">
        <v>299.99</v>
      </c>
      <c r="J25" s="5" t="s">
        <v>22</v>
      </c>
      <c r="K25" s="5" t="s">
        <v>52</v>
      </c>
      <c r="L25" s="5" t="s">
        <v>29</v>
      </c>
      <c r="M25" s="6">
        <v>44716</v>
      </c>
      <c r="N25" s="5">
        <v>1199.96</v>
      </c>
      <c r="O25" s="5" t="str">
        <f>TEXT(Table2[[#This Row],[Date]],"mmm")</f>
        <v>May</v>
      </c>
      <c r="R25">
        <f>SUMIF(Table2[Product_Name],F27,Table2[[#All],[Quantity]])</f>
        <v>67</v>
      </c>
    </row>
    <row r="26" spans="1:19" ht="15.75" customHeight="1" x14ac:dyDescent="0.3">
      <c r="A26" s="5" t="s">
        <v>109</v>
      </c>
      <c r="B26" s="6">
        <v>45422</v>
      </c>
      <c r="C26" s="5" t="s">
        <v>110</v>
      </c>
      <c r="D26" s="5" t="s">
        <v>111</v>
      </c>
      <c r="E26" s="5" t="s">
        <v>19</v>
      </c>
      <c r="F26" s="5" t="s">
        <v>20</v>
      </c>
      <c r="G26" s="5" t="s">
        <v>21</v>
      </c>
      <c r="H26" s="5">
        <v>5</v>
      </c>
      <c r="I26" s="5">
        <v>249.99</v>
      </c>
      <c r="J26" s="5" t="s">
        <v>28</v>
      </c>
      <c r="K26" s="5" t="s">
        <v>52</v>
      </c>
      <c r="L26" s="5" t="s">
        <v>38</v>
      </c>
      <c r="M26" s="6">
        <v>44525</v>
      </c>
      <c r="N26" s="5">
        <v>1249.95</v>
      </c>
      <c r="O26" s="5" t="str">
        <f>TEXT(Table2[[#This Row],[Date]],"mmm")</f>
        <v>May</v>
      </c>
      <c r="R26">
        <f>SUMIF(Table2[Product_Name],F28,Table2[[#All],[Quantity]])</f>
        <v>50</v>
      </c>
    </row>
    <row r="27" spans="1:19" ht="15.75" customHeight="1" x14ac:dyDescent="0.3">
      <c r="A27" s="5" t="s">
        <v>112</v>
      </c>
      <c r="B27" s="6">
        <v>45424</v>
      </c>
      <c r="C27" s="5" t="s">
        <v>70</v>
      </c>
      <c r="D27" s="5" t="s">
        <v>71</v>
      </c>
      <c r="E27" s="5" t="s">
        <v>107</v>
      </c>
      <c r="F27" s="5" t="s">
        <v>108</v>
      </c>
      <c r="G27" s="5" t="s">
        <v>48</v>
      </c>
      <c r="H27" s="5">
        <v>5</v>
      </c>
      <c r="I27" s="5">
        <v>299.99</v>
      </c>
      <c r="J27" s="5" t="s">
        <v>36</v>
      </c>
      <c r="K27" s="5" t="s">
        <v>65</v>
      </c>
      <c r="L27" s="5" t="s">
        <v>24</v>
      </c>
      <c r="M27" s="6">
        <v>45168</v>
      </c>
      <c r="N27" s="5">
        <v>1499.95</v>
      </c>
      <c r="O27" s="5" t="str">
        <f>TEXT(Table2[[#This Row],[Date]],"mmm")</f>
        <v>May</v>
      </c>
      <c r="R27">
        <f>SUMIF(Table2[Product_Name],F29,Table2[[#All],[Quantity]])</f>
        <v>99</v>
      </c>
    </row>
    <row r="28" spans="1:19" ht="15.75" customHeight="1" x14ac:dyDescent="0.3">
      <c r="A28" s="5" t="s">
        <v>113</v>
      </c>
      <c r="B28" s="6">
        <v>45424</v>
      </c>
      <c r="C28" s="5" t="s">
        <v>114</v>
      </c>
      <c r="D28" s="5" t="s">
        <v>115</v>
      </c>
      <c r="E28" s="5" t="s">
        <v>116</v>
      </c>
      <c r="F28" s="5" t="s">
        <v>117</v>
      </c>
      <c r="G28" s="5" t="s">
        <v>35</v>
      </c>
      <c r="H28" s="5">
        <v>3</v>
      </c>
      <c r="I28" s="5">
        <v>79.989999999999995</v>
      </c>
      <c r="J28" s="5" t="s">
        <v>36</v>
      </c>
      <c r="K28" s="5" t="s">
        <v>65</v>
      </c>
      <c r="L28" s="5" t="s">
        <v>29</v>
      </c>
      <c r="M28" s="6">
        <v>45012</v>
      </c>
      <c r="N28" s="5">
        <v>239.97</v>
      </c>
      <c r="O28" s="5" t="str">
        <f>TEXT(Table2[[#This Row],[Date]],"mmm")</f>
        <v>May</v>
      </c>
      <c r="R28">
        <f>SUMIF(Table2[Product_Name],F30,Table2[[#All],[Quantity]])</f>
        <v>98</v>
      </c>
    </row>
    <row r="29" spans="1:19" ht="15.75" customHeight="1" x14ac:dyDescent="0.3">
      <c r="A29" s="5" t="s">
        <v>118</v>
      </c>
      <c r="B29" s="6">
        <v>45424</v>
      </c>
      <c r="C29" s="5" t="s">
        <v>101</v>
      </c>
      <c r="D29" s="5" t="s">
        <v>102</v>
      </c>
      <c r="E29" s="5" t="s">
        <v>119</v>
      </c>
      <c r="F29" s="5" t="s">
        <v>120</v>
      </c>
      <c r="G29" s="5" t="s">
        <v>21</v>
      </c>
      <c r="H29" s="5">
        <v>5</v>
      </c>
      <c r="I29" s="5">
        <v>89.99</v>
      </c>
      <c r="J29" s="5" t="s">
        <v>22</v>
      </c>
      <c r="K29" s="5" t="s">
        <v>42</v>
      </c>
      <c r="L29" s="5" t="s">
        <v>29</v>
      </c>
      <c r="M29" s="6">
        <v>44919</v>
      </c>
      <c r="N29" s="5">
        <v>449.95</v>
      </c>
      <c r="O29" s="5" t="str">
        <f>TEXT(Table2[[#This Row],[Date]],"mmm")</f>
        <v>May</v>
      </c>
      <c r="R29">
        <f>SUMIF(Table2[Product_Name],F31,Table2[[#All],[Quantity]])</f>
        <v>98</v>
      </c>
    </row>
    <row r="30" spans="1:19" ht="15.75" customHeight="1" x14ac:dyDescent="0.3">
      <c r="A30" s="5" t="s">
        <v>121</v>
      </c>
      <c r="B30" s="6">
        <v>45425</v>
      </c>
      <c r="C30" s="5" t="s">
        <v>122</v>
      </c>
      <c r="D30" s="5" t="s">
        <v>123</v>
      </c>
      <c r="E30" s="5" t="s">
        <v>33</v>
      </c>
      <c r="F30" s="5" t="s">
        <v>34</v>
      </c>
      <c r="G30" s="5" t="s">
        <v>35</v>
      </c>
      <c r="H30" s="5">
        <v>2</v>
      </c>
      <c r="I30" s="5">
        <v>59.99</v>
      </c>
      <c r="J30" s="5" t="s">
        <v>59</v>
      </c>
      <c r="K30" s="5" t="s">
        <v>23</v>
      </c>
      <c r="L30" s="5" t="s">
        <v>38</v>
      </c>
      <c r="M30" s="6">
        <v>45214</v>
      </c>
      <c r="N30" s="5">
        <v>119.98</v>
      </c>
      <c r="O30" s="5" t="str">
        <f>TEXT(Table2[[#This Row],[Date]],"mmm")</f>
        <v>May</v>
      </c>
      <c r="R30">
        <f>SUMIF(Table2[Product_Name],F32,Table2[[#All],[Quantity]])</f>
        <v>43</v>
      </c>
    </row>
    <row r="31" spans="1:19" ht="15.75" customHeight="1" x14ac:dyDescent="0.3">
      <c r="A31" s="5" t="s">
        <v>124</v>
      </c>
      <c r="B31" s="6">
        <v>45427</v>
      </c>
      <c r="C31" s="5" t="s">
        <v>125</v>
      </c>
      <c r="D31" s="5" t="s">
        <v>126</v>
      </c>
      <c r="E31" s="5" t="s">
        <v>33</v>
      </c>
      <c r="F31" s="5" t="s">
        <v>34</v>
      </c>
      <c r="G31" s="5" t="s">
        <v>35</v>
      </c>
      <c r="H31" s="5">
        <v>4</v>
      </c>
      <c r="I31" s="5">
        <v>59.99</v>
      </c>
      <c r="J31" s="5" t="s">
        <v>59</v>
      </c>
      <c r="K31" s="5" t="s">
        <v>65</v>
      </c>
      <c r="L31" s="5" t="s">
        <v>38</v>
      </c>
      <c r="M31" s="6">
        <v>44867</v>
      </c>
      <c r="N31" s="5">
        <v>239.96</v>
      </c>
      <c r="O31" s="5" t="str">
        <f>TEXT(Table2[[#This Row],[Date]],"mmm")</f>
        <v>May</v>
      </c>
      <c r="R31">
        <f>SUMIF(Table2[Product_Name],F33,Table2[[#All],[Quantity]])</f>
        <v>108</v>
      </c>
    </row>
    <row r="32" spans="1:19" ht="15.75" customHeight="1" x14ac:dyDescent="0.3">
      <c r="A32" s="5" t="s">
        <v>127</v>
      </c>
      <c r="B32" s="6">
        <v>45427</v>
      </c>
      <c r="C32" s="5" t="s">
        <v>57</v>
      </c>
      <c r="D32" s="5" t="s">
        <v>58</v>
      </c>
      <c r="E32" s="5" t="s">
        <v>128</v>
      </c>
      <c r="F32" s="5" t="s">
        <v>129</v>
      </c>
      <c r="G32" s="5" t="s">
        <v>48</v>
      </c>
      <c r="H32" s="5">
        <v>5</v>
      </c>
      <c r="I32" s="5">
        <v>199.99</v>
      </c>
      <c r="J32" s="5" t="s">
        <v>22</v>
      </c>
      <c r="K32" s="5" t="s">
        <v>37</v>
      </c>
      <c r="L32" s="5" t="s">
        <v>38</v>
      </c>
      <c r="M32" s="6">
        <v>44412</v>
      </c>
      <c r="N32" s="5">
        <v>999.95</v>
      </c>
      <c r="O32" s="5" t="str">
        <f>TEXT(Table2[[#This Row],[Date]],"mmm")</f>
        <v>May</v>
      </c>
      <c r="R32">
        <f>SUMIF(Table2[Product_Name],F34,Table2[[#All],[Quantity]])</f>
        <v>108</v>
      </c>
    </row>
    <row r="33" spans="1:18" ht="15.75" customHeight="1" x14ac:dyDescent="0.3">
      <c r="A33" s="5" t="s">
        <v>130</v>
      </c>
      <c r="B33" s="6">
        <v>45428</v>
      </c>
      <c r="C33" s="5" t="s">
        <v>131</v>
      </c>
      <c r="D33" s="5" t="s">
        <v>132</v>
      </c>
      <c r="E33" s="5" t="s">
        <v>46</v>
      </c>
      <c r="F33" s="5" t="s">
        <v>47</v>
      </c>
      <c r="G33" s="5" t="s">
        <v>48</v>
      </c>
      <c r="H33" s="5">
        <v>2</v>
      </c>
      <c r="I33" s="5">
        <v>149.99</v>
      </c>
      <c r="J33" s="5" t="s">
        <v>28</v>
      </c>
      <c r="K33" s="5" t="s">
        <v>52</v>
      </c>
      <c r="L33" s="5" t="s">
        <v>24</v>
      </c>
      <c r="M33" s="6">
        <v>44823</v>
      </c>
      <c r="N33" s="5">
        <v>299.98</v>
      </c>
      <c r="O33" s="5" t="str">
        <f>TEXT(Table2[[#This Row],[Date]],"mmm")</f>
        <v>May</v>
      </c>
      <c r="R33">
        <f>SUMIF(Table2[Product_Name],F35,Table2[[#All],[Quantity]])</f>
        <v>67</v>
      </c>
    </row>
    <row r="34" spans="1:18" ht="15.75" customHeight="1" x14ac:dyDescent="0.3">
      <c r="A34" s="5" t="s">
        <v>133</v>
      </c>
      <c r="B34" s="6">
        <v>45430</v>
      </c>
      <c r="C34" s="5" t="s">
        <v>134</v>
      </c>
      <c r="D34" s="5" t="s">
        <v>135</v>
      </c>
      <c r="E34" s="5" t="s">
        <v>46</v>
      </c>
      <c r="F34" s="5" t="s">
        <v>47</v>
      </c>
      <c r="G34" s="5" t="s">
        <v>48</v>
      </c>
      <c r="H34" s="5">
        <v>3</v>
      </c>
      <c r="I34" s="5">
        <v>149.99</v>
      </c>
      <c r="J34" s="5" t="s">
        <v>28</v>
      </c>
      <c r="K34" s="5" t="s">
        <v>52</v>
      </c>
      <c r="L34" s="5" t="s">
        <v>29</v>
      </c>
      <c r="M34" s="6">
        <v>45068</v>
      </c>
      <c r="N34" s="5">
        <v>449.97</v>
      </c>
      <c r="O34" s="5" t="str">
        <f>TEXT(Table2[[#This Row],[Date]],"mmm")</f>
        <v>May</v>
      </c>
      <c r="R34">
        <f>SUMIF(Table2[Product_Name],F36,Table2[[#All],[Quantity]])</f>
        <v>67</v>
      </c>
    </row>
    <row r="35" spans="1:18" ht="15.75" customHeight="1" x14ac:dyDescent="0.3">
      <c r="A35" s="5" t="s">
        <v>136</v>
      </c>
      <c r="B35" s="6">
        <v>45432</v>
      </c>
      <c r="C35" s="5" t="s">
        <v>31</v>
      </c>
      <c r="D35" s="5" t="s">
        <v>32</v>
      </c>
      <c r="E35" s="5" t="s">
        <v>63</v>
      </c>
      <c r="F35" s="5" t="s">
        <v>64</v>
      </c>
      <c r="G35" s="5" t="s">
        <v>21</v>
      </c>
      <c r="H35" s="5">
        <v>1</v>
      </c>
      <c r="I35" s="5">
        <v>899.99</v>
      </c>
      <c r="J35" s="5" t="s">
        <v>28</v>
      </c>
      <c r="K35" s="5" t="s">
        <v>52</v>
      </c>
      <c r="L35" s="5" t="s">
        <v>29</v>
      </c>
      <c r="M35" s="6">
        <v>44578</v>
      </c>
      <c r="N35" s="5">
        <v>899.99</v>
      </c>
      <c r="O35" s="5" t="str">
        <f>TEXT(Table2[[#This Row],[Date]],"mmm")</f>
        <v>May</v>
      </c>
      <c r="R35">
        <f>SUMIF(Table2[Product_Name],F37,Table2[[#All],[Quantity]])</f>
        <v>50</v>
      </c>
    </row>
    <row r="36" spans="1:18" ht="15.75" customHeight="1" x14ac:dyDescent="0.3">
      <c r="A36" s="5" t="s">
        <v>137</v>
      </c>
      <c r="B36" s="6">
        <v>45434</v>
      </c>
      <c r="C36" s="5" t="s">
        <v>101</v>
      </c>
      <c r="D36" s="5" t="s">
        <v>102</v>
      </c>
      <c r="E36" s="5" t="s">
        <v>107</v>
      </c>
      <c r="F36" s="5" t="s">
        <v>108</v>
      </c>
      <c r="G36" s="5" t="s">
        <v>48</v>
      </c>
      <c r="H36" s="5">
        <v>3</v>
      </c>
      <c r="I36" s="5">
        <v>299.99</v>
      </c>
      <c r="J36" s="5" t="s">
        <v>28</v>
      </c>
      <c r="K36" s="5" t="s">
        <v>65</v>
      </c>
      <c r="L36" s="5" t="s">
        <v>24</v>
      </c>
      <c r="M36" s="6">
        <v>44824</v>
      </c>
      <c r="N36" s="5">
        <v>899.97</v>
      </c>
      <c r="O36" s="5" t="str">
        <f>TEXT(Table2[[#This Row],[Date]],"mmm")</f>
        <v>May</v>
      </c>
      <c r="R36">
        <f>SUMIF(Table2[Product_Name],F38,Table2[[#All],[Quantity]])</f>
        <v>43</v>
      </c>
    </row>
    <row r="37" spans="1:18" ht="15.75" customHeight="1" x14ac:dyDescent="0.3">
      <c r="A37" s="5" t="s">
        <v>138</v>
      </c>
      <c r="B37" s="6">
        <v>45435</v>
      </c>
      <c r="C37" s="5" t="s">
        <v>131</v>
      </c>
      <c r="D37" s="5" t="s">
        <v>132</v>
      </c>
      <c r="E37" s="5" t="s">
        <v>116</v>
      </c>
      <c r="F37" s="5" t="s">
        <v>117</v>
      </c>
      <c r="G37" s="5" t="s">
        <v>35</v>
      </c>
      <c r="H37" s="5">
        <v>3</v>
      </c>
      <c r="I37" s="5">
        <v>79.989999999999995</v>
      </c>
      <c r="J37" s="5" t="s">
        <v>22</v>
      </c>
      <c r="K37" s="5" t="s">
        <v>37</v>
      </c>
      <c r="L37" s="5" t="s">
        <v>24</v>
      </c>
      <c r="M37" s="6">
        <v>45046</v>
      </c>
      <c r="N37" s="5">
        <v>239.97</v>
      </c>
      <c r="O37" s="5" t="str">
        <f>TEXT(Table2[[#This Row],[Date]],"mmm")</f>
        <v>May</v>
      </c>
      <c r="R37">
        <f>SUMIF(Table2[Product_Name],F39,Table2[[#All],[Quantity]])</f>
        <v>84</v>
      </c>
    </row>
    <row r="38" spans="1:18" ht="15.75" customHeight="1" x14ac:dyDescent="0.3">
      <c r="A38" s="5" t="s">
        <v>139</v>
      </c>
      <c r="B38" s="6">
        <v>45438</v>
      </c>
      <c r="C38" s="5" t="s">
        <v>140</v>
      </c>
      <c r="D38" s="5" t="s">
        <v>141</v>
      </c>
      <c r="E38" s="5" t="s">
        <v>128</v>
      </c>
      <c r="F38" s="5" t="s">
        <v>129</v>
      </c>
      <c r="G38" s="5" t="s">
        <v>48</v>
      </c>
      <c r="H38" s="5">
        <v>3</v>
      </c>
      <c r="I38" s="5">
        <v>199.99</v>
      </c>
      <c r="J38" s="5" t="s">
        <v>28</v>
      </c>
      <c r="K38" s="5" t="s">
        <v>42</v>
      </c>
      <c r="L38" s="5" t="s">
        <v>29</v>
      </c>
      <c r="M38" s="6">
        <v>45292</v>
      </c>
      <c r="N38" s="5">
        <v>599.97</v>
      </c>
      <c r="O38" s="5" t="str">
        <f>TEXT(Table2[[#This Row],[Date]],"mmm")</f>
        <v>May</v>
      </c>
      <c r="R38">
        <f>SUMIF(Table2[Product_Name],F40,Table2[[#All],[Quantity]])</f>
        <v>99</v>
      </c>
    </row>
    <row r="39" spans="1:18" ht="15.75" customHeight="1" x14ac:dyDescent="0.3">
      <c r="A39" s="5" t="s">
        <v>142</v>
      </c>
      <c r="B39" s="6">
        <v>45440</v>
      </c>
      <c r="C39" s="5" t="s">
        <v>143</v>
      </c>
      <c r="D39" s="5" t="s">
        <v>144</v>
      </c>
      <c r="E39" s="5" t="s">
        <v>82</v>
      </c>
      <c r="F39" s="5" t="s">
        <v>83</v>
      </c>
      <c r="G39" s="5" t="s">
        <v>21</v>
      </c>
      <c r="H39" s="5">
        <v>5</v>
      </c>
      <c r="I39" s="5">
        <v>699.99</v>
      </c>
      <c r="J39" s="5" t="s">
        <v>36</v>
      </c>
      <c r="K39" s="5" t="s">
        <v>52</v>
      </c>
      <c r="L39" s="5" t="s">
        <v>38</v>
      </c>
      <c r="M39" s="6">
        <v>44407</v>
      </c>
      <c r="N39" s="5">
        <v>3499.95</v>
      </c>
      <c r="O39" s="5" t="str">
        <f>TEXT(Table2[[#This Row],[Date]],"mmm")</f>
        <v>May</v>
      </c>
      <c r="R39">
        <f>SUMIF(Table2[Product_Name],F41,Table2[[#All],[Quantity]])</f>
        <v>50</v>
      </c>
    </row>
    <row r="40" spans="1:18" ht="15.75" customHeight="1" x14ac:dyDescent="0.3">
      <c r="A40" s="5" t="s">
        <v>145</v>
      </c>
      <c r="B40" s="6">
        <v>45441</v>
      </c>
      <c r="C40" s="5" t="s">
        <v>146</v>
      </c>
      <c r="D40" s="5" t="s">
        <v>147</v>
      </c>
      <c r="E40" s="5" t="s">
        <v>119</v>
      </c>
      <c r="F40" s="5" t="s">
        <v>120</v>
      </c>
      <c r="G40" s="5" t="s">
        <v>21</v>
      </c>
      <c r="H40" s="5">
        <v>3</v>
      </c>
      <c r="I40" s="5">
        <v>89.99</v>
      </c>
      <c r="J40" s="5" t="s">
        <v>36</v>
      </c>
      <c r="K40" s="5" t="s">
        <v>23</v>
      </c>
      <c r="L40" s="5" t="s">
        <v>29</v>
      </c>
      <c r="M40" s="6">
        <v>45120</v>
      </c>
      <c r="N40" s="5">
        <v>269.97000000000003</v>
      </c>
      <c r="O40" s="5" t="str">
        <f>TEXT(Table2[[#This Row],[Date]],"mmm")</f>
        <v>May</v>
      </c>
      <c r="R40">
        <f>SUMIF(Table2[Product_Name],F42,Table2[[#All],[Quantity]])</f>
        <v>98</v>
      </c>
    </row>
    <row r="41" spans="1:18" ht="15.75" customHeight="1" x14ac:dyDescent="0.3">
      <c r="A41" s="5" t="s">
        <v>148</v>
      </c>
      <c r="B41" s="6">
        <v>45443</v>
      </c>
      <c r="C41" s="5" t="s">
        <v>149</v>
      </c>
      <c r="D41" s="5" t="s">
        <v>150</v>
      </c>
      <c r="E41" s="5" t="s">
        <v>116</v>
      </c>
      <c r="F41" s="5" t="s">
        <v>117</v>
      </c>
      <c r="G41" s="5" t="s">
        <v>35</v>
      </c>
      <c r="H41" s="5">
        <v>1</v>
      </c>
      <c r="I41" s="5">
        <v>79.989999999999995</v>
      </c>
      <c r="J41" s="5" t="s">
        <v>22</v>
      </c>
      <c r="K41" s="5" t="s">
        <v>42</v>
      </c>
      <c r="L41" s="5" t="s">
        <v>38</v>
      </c>
      <c r="M41" s="6">
        <v>44917</v>
      </c>
      <c r="N41" s="5">
        <v>79.989999999999995</v>
      </c>
      <c r="O41" s="5" t="str">
        <f>TEXT(Table2[[#This Row],[Date]],"mmm")</f>
        <v>May</v>
      </c>
      <c r="R41">
        <f>SUMIF(Table2[Product_Name],F43,Table2[[#All],[Quantity]])</f>
        <v>99</v>
      </c>
    </row>
    <row r="42" spans="1:18" ht="15.75" customHeight="1" x14ac:dyDescent="0.3">
      <c r="A42" s="5" t="s">
        <v>151</v>
      </c>
      <c r="B42" s="6">
        <v>45444</v>
      </c>
      <c r="C42" s="5" t="s">
        <v>152</v>
      </c>
      <c r="D42" s="5" t="s">
        <v>153</v>
      </c>
      <c r="E42" s="5" t="s">
        <v>33</v>
      </c>
      <c r="F42" s="5" t="s">
        <v>34</v>
      </c>
      <c r="G42" s="5" t="s">
        <v>35</v>
      </c>
      <c r="H42" s="5">
        <v>2</v>
      </c>
      <c r="I42" s="5">
        <v>59.99</v>
      </c>
      <c r="J42" s="5" t="s">
        <v>22</v>
      </c>
      <c r="K42" s="5" t="s">
        <v>52</v>
      </c>
      <c r="L42" s="5" t="s">
        <v>24</v>
      </c>
      <c r="M42" s="6">
        <v>45390</v>
      </c>
      <c r="N42" s="5">
        <v>119.98</v>
      </c>
      <c r="O42" s="5" t="str">
        <f>TEXT(Table2[[#This Row],[Date]],"mmm")</f>
        <v>Jun</v>
      </c>
      <c r="R42">
        <f>SUMIF(Table2[Product_Name],F44,Table2[[#All],[Quantity]])</f>
        <v>99</v>
      </c>
    </row>
    <row r="43" spans="1:18" ht="15.75" customHeight="1" x14ac:dyDescent="0.3">
      <c r="A43" s="5" t="s">
        <v>154</v>
      </c>
      <c r="B43" s="6">
        <v>45444</v>
      </c>
      <c r="C43" s="5" t="s">
        <v>57</v>
      </c>
      <c r="D43" s="5" t="s">
        <v>58</v>
      </c>
      <c r="E43" s="5" t="s">
        <v>119</v>
      </c>
      <c r="F43" s="5" t="s">
        <v>120</v>
      </c>
      <c r="G43" s="5" t="s">
        <v>21</v>
      </c>
      <c r="H43" s="5">
        <v>1</v>
      </c>
      <c r="I43" s="5">
        <v>89.99</v>
      </c>
      <c r="J43" s="5" t="s">
        <v>22</v>
      </c>
      <c r="K43" s="5" t="s">
        <v>42</v>
      </c>
      <c r="L43" s="5" t="s">
        <v>24</v>
      </c>
      <c r="M43" s="6">
        <v>45141</v>
      </c>
      <c r="N43" s="5">
        <v>89.99</v>
      </c>
      <c r="O43" s="5" t="str">
        <f>TEXT(Table2[[#This Row],[Date]],"mmm")</f>
        <v>Jun</v>
      </c>
      <c r="R43">
        <f>SUMIF(Table2[Product_Name],F45,Table2[[#All],[Quantity]])</f>
        <v>86</v>
      </c>
    </row>
    <row r="44" spans="1:18" ht="15.75" customHeight="1" x14ac:dyDescent="0.3">
      <c r="A44" s="5" t="s">
        <v>155</v>
      </c>
      <c r="B44" s="6">
        <v>45446</v>
      </c>
      <c r="C44" s="5" t="s">
        <v>156</v>
      </c>
      <c r="D44" s="5" t="s">
        <v>157</v>
      </c>
      <c r="E44" s="5" t="s">
        <v>119</v>
      </c>
      <c r="F44" s="5" t="s">
        <v>120</v>
      </c>
      <c r="G44" s="5" t="s">
        <v>21</v>
      </c>
      <c r="H44" s="5">
        <v>5</v>
      </c>
      <c r="I44" s="5">
        <v>89.99</v>
      </c>
      <c r="J44" s="5" t="s">
        <v>28</v>
      </c>
      <c r="K44" s="5" t="s">
        <v>65</v>
      </c>
      <c r="L44" s="5" t="s">
        <v>38</v>
      </c>
      <c r="M44" s="6">
        <v>44587</v>
      </c>
      <c r="N44" s="5">
        <v>449.95</v>
      </c>
      <c r="O44" s="5" t="str">
        <f>TEXT(Table2[[#This Row],[Date]],"mmm")</f>
        <v>Jun</v>
      </c>
      <c r="R44">
        <f>SUMIF(Table2[Product_Name],F46,Table2[[#All],[Quantity]])</f>
        <v>99</v>
      </c>
    </row>
    <row r="45" spans="1:18" ht="15.75" customHeight="1" x14ac:dyDescent="0.3">
      <c r="A45" s="5" t="s">
        <v>158</v>
      </c>
      <c r="B45" s="6">
        <v>45449</v>
      </c>
      <c r="C45" s="5" t="s">
        <v>26</v>
      </c>
      <c r="D45" s="5" t="s">
        <v>27</v>
      </c>
      <c r="E45" s="5" t="s">
        <v>19</v>
      </c>
      <c r="F45" s="5" t="s">
        <v>20</v>
      </c>
      <c r="G45" s="5" t="s">
        <v>21</v>
      </c>
      <c r="H45" s="5">
        <v>5</v>
      </c>
      <c r="I45" s="5">
        <v>249.99</v>
      </c>
      <c r="J45" s="5" t="s">
        <v>28</v>
      </c>
      <c r="K45" s="5" t="s">
        <v>65</v>
      </c>
      <c r="L45" s="5" t="s">
        <v>38</v>
      </c>
      <c r="M45" s="6">
        <v>44707</v>
      </c>
      <c r="N45" s="5">
        <v>1249.95</v>
      </c>
      <c r="O45" s="5" t="str">
        <f>TEXT(Table2[[#This Row],[Date]],"mmm")</f>
        <v>Jun</v>
      </c>
      <c r="R45">
        <f>SUMIF(Table2[Product_Name],F47,Table2[[#All],[Quantity]])</f>
        <v>108</v>
      </c>
    </row>
    <row r="46" spans="1:18" ht="15.75" customHeight="1" x14ac:dyDescent="0.3">
      <c r="A46" s="5" t="s">
        <v>159</v>
      </c>
      <c r="B46" s="6">
        <v>45449</v>
      </c>
      <c r="C46" s="5" t="s">
        <v>160</v>
      </c>
      <c r="D46" s="5" t="s">
        <v>161</v>
      </c>
      <c r="E46" s="5" t="s">
        <v>119</v>
      </c>
      <c r="F46" s="5" t="s">
        <v>120</v>
      </c>
      <c r="G46" s="5" t="s">
        <v>21</v>
      </c>
      <c r="H46" s="5">
        <v>1</v>
      </c>
      <c r="I46" s="5">
        <v>89.99</v>
      </c>
      <c r="J46" s="5" t="s">
        <v>28</v>
      </c>
      <c r="K46" s="5" t="s">
        <v>37</v>
      </c>
      <c r="L46" s="5" t="s">
        <v>38</v>
      </c>
      <c r="M46" s="6">
        <v>44582</v>
      </c>
      <c r="N46" s="5">
        <v>89.99</v>
      </c>
      <c r="O46" s="5" t="str">
        <f>TEXT(Table2[[#This Row],[Date]],"mmm")</f>
        <v>Jun</v>
      </c>
      <c r="R46">
        <f>SUMIF(Table2[Product_Name],F48,Table2[[#All],[Quantity]])</f>
        <v>98</v>
      </c>
    </row>
    <row r="47" spans="1:18" ht="15.75" customHeight="1" x14ac:dyDescent="0.3">
      <c r="A47" s="5" t="s">
        <v>162</v>
      </c>
      <c r="B47" s="6">
        <v>45450</v>
      </c>
      <c r="C47" s="5" t="s">
        <v>44</v>
      </c>
      <c r="D47" s="5" t="s">
        <v>45</v>
      </c>
      <c r="E47" s="5" t="s">
        <v>46</v>
      </c>
      <c r="F47" s="5" t="s">
        <v>47</v>
      </c>
      <c r="G47" s="5" t="s">
        <v>48</v>
      </c>
      <c r="H47" s="5">
        <v>2</v>
      </c>
      <c r="I47" s="5">
        <v>149.99</v>
      </c>
      <c r="J47" s="5" t="s">
        <v>22</v>
      </c>
      <c r="K47" s="5" t="s">
        <v>65</v>
      </c>
      <c r="L47" s="5" t="s">
        <v>29</v>
      </c>
      <c r="M47" s="6">
        <v>44645</v>
      </c>
      <c r="N47" s="5">
        <v>299.98</v>
      </c>
      <c r="O47" s="5" t="str">
        <f>TEXT(Table2[[#This Row],[Date]],"mmm")</f>
        <v>Jun</v>
      </c>
      <c r="R47">
        <f>SUMIF(Table2[Product_Name],F49,Table2[[#All],[Quantity]])</f>
        <v>99</v>
      </c>
    </row>
    <row r="48" spans="1:18" ht="15.75" customHeight="1" x14ac:dyDescent="0.3">
      <c r="A48" s="5" t="s">
        <v>163</v>
      </c>
      <c r="B48" s="6">
        <v>45452</v>
      </c>
      <c r="C48" s="5" t="s">
        <v>164</v>
      </c>
      <c r="D48" s="5" t="s">
        <v>165</v>
      </c>
      <c r="E48" s="5" t="s">
        <v>33</v>
      </c>
      <c r="F48" s="5" t="s">
        <v>34</v>
      </c>
      <c r="G48" s="5" t="s">
        <v>35</v>
      </c>
      <c r="H48" s="5">
        <v>4</v>
      </c>
      <c r="I48" s="5">
        <v>59.99</v>
      </c>
      <c r="J48" s="5" t="s">
        <v>22</v>
      </c>
      <c r="K48" s="5" t="s">
        <v>65</v>
      </c>
      <c r="L48" s="5" t="s">
        <v>38</v>
      </c>
      <c r="M48" s="6">
        <v>44435</v>
      </c>
      <c r="N48" s="5">
        <v>239.96</v>
      </c>
      <c r="O48" s="5" t="str">
        <f>TEXT(Table2[[#This Row],[Date]],"mmm")</f>
        <v>Jun</v>
      </c>
      <c r="R48">
        <f>SUMIF(Table2[Product_Name],F50,Table2[[#All],[Quantity]])</f>
        <v>99</v>
      </c>
    </row>
    <row r="49" spans="1:18" ht="15.75" customHeight="1" x14ac:dyDescent="0.3">
      <c r="A49" s="5" t="s">
        <v>166</v>
      </c>
      <c r="B49" s="6">
        <v>45456</v>
      </c>
      <c r="C49" s="5" t="s">
        <v>131</v>
      </c>
      <c r="D49" s="5" t="s">
        <v>132</v>
      </c>
      <c r="E49" s="5" t="s">
        <v>119</v>
      </c>
      <c r="F49" s="5" t="s">
        <v>120</v>
      </c>
      <c r="G49" s="5" t="s">
        <v>21</v>
      </c>
      <c r="H49" s="5">
        <v>5</v>
      </c>
      <c r="I49" s="5">
        <v>89.99</v>
      </c>
      <c r="J49" s="5" t="s">
        <v>22</v>
      </c>
      <c r="K49" s="5" t="s">
        <v>23</v>
      </c>
      <c r="L49" s="5" t="s">
        <v>29</v>
      </c>
      <c r="M49" s="6">
        <v>44579</v>
      </c>
      <c r="N49" s="5">
        <v>449.95</v>
      </c>
      <c r="O49" s="5" t="str">
        <f>TEXT(Table2[[#This Row],[Date]],"mmm")</f>
        <v>Jun</v>
      </c>
      <c r="R49">
        <f>SUMIF(Table2[Product_Name],F51,Table2[[#All],[Quantity]])</f>
        <v>67</v>
      </c>
    </row>
    <row r="50" spans="1:18" ht="15.75" customHeight="1" x14ac:dyDescent="0.3">
      <c r="A50" s="5" t="s">
        <v>167</v>
      </c>
      <c r="B50" s="6">
        <v>45459</v>
      </c>
      <c r="C50" s="5" t="s">
        <v>101</v>
      </c>
      <c r="D50" s="5" t="s">
        <v>102</v>
      </c>
      <c r="E50" s="5" t="s">
        <v>119</v>
      </c>
      <c r="F50" s="5" t="s">
        <v>120</v>
      </c>
      <c r="G50" s="5" t="s">
        <v>21</v>
      </c>
      <c r="H50" s="5">
        <v>2</v>
      </c>
      <c r="I50" s="5">
        <v>89.99</v>
      </c>
      <c r="J50" s="5" t="s">
        <v>28</v>
      </c>
      <c r="K50" s="5" t="s">
        <v>37</v>
      </c>
      <c r="L50" s="5" t="s">
        <v>29</v>
      </c>
      <c r="M50" s="6">
        <v>44471</v>
      </c>
      <c r="N50" s="5">
        <v>179.98</v>
      </c>
      <c r="O50" s="5" t="str">
        <f>TEXT(Table2[[#This Row],[Date]],"mmm")</f>
        <v>Jun</v>
      </c>
      <c r="R50">
        <f>SUMIF(Table2[Product_Name],F52,Table2[[#All],[Quantity]])</f>
        <v>67</v>
      </c>
    </row>
    <row r="51" spans="1:18" ht="15.75" customHeight="1" x14ac:dyDescent="0.3">
      <c r="A51" s="5" t="s">
        <v>168</v>
      </c>
      <c r="B51" s="6">
        <v>45459</v>
      </c>
      <c r="C51" s="5" t="s">
        <v>17</v>
      </c>
      <c r="D51" s="5" t="s">
        <v>18</v>
      </c>
      <c r="E51" s="5" t="s">
        <v>63</v>
      </c>
      <c r="F51" s="5" t="s">
        <v>64</v>
      </c>
      <c r="G51" s="5" t="s">
        <v>21</v>
      </c>
      <c r="H51" s="5">
        <v>5</v>
      </c>
      <c r="I51" s="5">
        <v>899.99</v>
      </c>
      <c r="J51" s="5" t="s">
        <v>28</v>
      </c>
      <c r="K51" s="5" t="s">
        <v>37</v>
      </c>
      <c r="L51" s="5" t="s">
        <v>38</v>
      </c>
      <c r="M51" s="6">
        <v>44974</v>
      </c>
      <c r="N51" s="5">
        <v>4499.95</v>
      </c>
      <c r="O51" s="5" t="str">
        <f>TEXT(Table2[[#This Row],[Date]],"mmm")</f>
        <v>Jun</v>
      </c>
      <c r="R51">
        <f>SUMIF(Table2[Product_Name],F53,Table2[[#All],[Quantity]])</f>
        <v>98</v>
      </c>
    </row>
    <row r="52" spans="1:18" ht="15.75" customHeight="1" x14ac:dyDescent="0.3">
      <c r="A52" s="5" t="s">
        <v>169</v>
      </c>
      <c r="B52" s="6">
        <v>45459</v>
      </c>
      <c r="C52" s="5" t="s">
        <v>125</v>
      </c>
      <c r="D52" s="5" t="s">
        <v>126</v>
      </c>
      <c r="E52" s="5" t="s">
        <v>63</v>
      </c>
      <c r="F52" s="5" t="s">
        <v>64</v>
      </c>
      <c r="G52" s="5" t="s">
        <v>21</v>
      </c>
      <c r="H52" s="5">
        <v>5</v>
      </c>
      <c r="I52" s="5">
        <v>899.99</v>
      </c>
      <c r="J52" s="5" t="s">
        <v>36</v>
      </c>
      <c r="K52" s="5" t="s">
        <v>65</v>
      </c>
      <c r="L52" s="5" t="s">
        <v>29</v>
      </c>
      <c r="M52" s="6">
        <v>45278</v>
      </c>
      <c r="N52" s="5">
        <v>4499.95</v>
      </c>
      <c r="O52" s="5" t="str">
        <f>TEXT(Table2[[#This Row],[Date]],"mmm")</f>
        <v>Jun</v>
      </c>
      <c r="R52">
        <f>SUMIF(Table2[Product_Name],F54,Table2[[#All],[Quantity]])</f>
        <v>67</v>
      </c>
    </row>
    <row r="53" spans="1:18" ht="15.75" customHeight="1" x14ac:dyDescent="0.3">
      <c r="A53" s="5" t="s">
        <v>170</v>
      </c>
      <c r="B53" s="6">
        <v>45460</v>
      </c>
      <c r="C53" s="5" t="s">
        <v>160</v>
      </c>
      <c r="D53" s="5" t="s">
        <v>161</v>
      </c>
      <c r="E53" s="5" t="s">
        <v>33</v>
      </c>
      <c r="F53" s="5" t="s">
        <v>34</v>
      </c>
      <c r="G53" s="5" t="s">
        <v>35</v>
      </c>
      <c r="H53" s="5">
        <v>1</v>
      </c>
      <c r="I53" s="5">
        <v>59.99</v>
      </c>
      <c r="J53" s="5" t="s">
        <v>59</v>
      </c>
      <c r="K53" s="5" t="s">
        <v>52</v>
      </c>
      <c r="L53" s="5" t="s">
        <v>29</v>
      </c>
      <c r="M53" s="6">
        <v>45190</v>
      </c>
      <c r="N53" s="5">
        <v>59.99</v>
      </c>
      <c r="O53" s="5" t="str">
        <f>TEXT(Table2[[#This Row],[Date]],"mmm")</f>
        <v>Jun</v>
      </c>
      <c r="R53">
        <f>SUMIF(Table2[Product_Name],F55,Table2[[#All],[Quantity]])</f>
        <v>99</v>
      </c>
    </row>
    <row r="54" spans="1:18" ht="15.75" customHeight="1" x14ac:dyDescent="0.3">
      <c r="A54" s="5" t="s">
        <v>171</v>
      </c>
      <c r="B54" s="6">
        <v>45460</v>
      </c>
      <c r="C54" s="5" t="s">
        <v>143</v>
      </c>
      <c r="D54" s="5" t="s">
        <v>144</v>
      </c>
      <c r="E54" s="5" t="s">
        <v>107</v>
      </c>
      <c r="F54" s="5" t="s">
        <v>108</v>
      </c>
      <c r="G54" s="5" t="s">
        <v>48</v>
      </c>
      <c r="H54" s="5">
        <v>2</v>
      </c>
      <c r="I54" s="5">
        <v>299.99</v>
      </c>
      <c r="J54" s="5" t="s">
        <v>59</v>
      </c>
      <c r="K54" s="5" t="s">
        <v>65</v>
      </c>
      <c r="L54" s="5" t="s">
        <v>38</v>
      </c>
      <c r="M54" s="6">
        <v>45253</v>
      </c>
      <c r="N54" s="5">
        <v>599.98</v>
      </c>
      <c r="O54" s="5" t="str">
        <f>TEXT(Table2[[#This Row],[Date]],"mmm")</f>
        <v>Jun</v>
      </c>
      <c r="R54">
        <f>SUMIF(Table2[Product_Name],F56,Table2[[#All],[Quantity]])</f>
        <v>50</v>
      </c>
    </row>
    <row r="55" spans="1:18" ht="15.75" customHeight="1" x14ac:dyDescent="0.3">
      <c r="A55" s="5" t="s">
        <v>172</v>
      </c>
      <c r="B55" s="6">
        <v>45468</v>
      </c>
      <c r="C55" s="5" t="s">
        <v>173</v>
      </c>
      <c r="D55" s="5" t="s">
        <v>174</v>
      </c>
      <c r="E55" s="5" t="s">
        <v>119</v>
      </c>
      <c r="F55" s="5" t="s">
        <v>120</v>
      </c>
      <c r="G55" s="5" t="s">
        <v>21</v>
      </c>
      <c r="H55" s="5">
        <v>4</v>
      </c>
      <c r="I55" s="5">
        <v>89.99</v>
      </c>
      <c r="J55" s="5" t="s">
        <v>59</v>
      </c>
      <c r="K55" s="5" t="s">
        <v>37</v>
      </c>
      <c r="L55" s="5" t="s">
        <v>24</v>
      </c>
      <c r="M55" s="6">
        <v>45281</v>
      </c>
      <c r="N55" s="5">
        <v>359.96</v>
      </c>
      <c r="O55" s="5" t="str">
        <f>TEXT(Table2[[#This Row],[Date]],"mmm")</f>
        <v>Jun</v>
      </c>
      <c r="R55">
        <f>SUMIF(Table2[Product_Name],F57,Table2[[#All],[Quantity]])</f>
        <v>99</v>
      </c>
    </row>
    <row r="56" spans="1:18" ht="15.75" customHeight="1" x14ac:dyDescent="0.3">
      <c r="A56" s="5" t="s">
        <v>175</v>
      </c>
      <c r="B56" s="6">
        <v>45469</v>
      </c>
      <c r="C56" s="5" t="s">
        <v>31</v>
      </c>
      <c r="D56" s="5" t="s">
        <v>32</v>
      </c>
      <c r="E56" s="5" t="s">
        <v>116</v>
      </c>
      <c r="F56" s="5" t="s">
        <v>117</v>
      </c>
      <c r="G56" s="5" t="s">
        <v>35</v>
      </c>
      <c r="H56" s="5">
        <v>1</v>
      </c>
      <c r="I56" s="5">
        <v>79.989999999999995</v>
      </c>
      <c r="J56" s="5" t="s">
        <v>36</v>
      </c>
      <c r="K56" s="5" t="s">
        <v>23</v>
      </c>
      <c r="L56" s="5" t="s">
        <v>29</v>
      </c>
      <c r="M56" s="6">
        <v>45352</v>
      </c>
      <c r="N56" s="5">
        <v>79.989999999999995</v>
      </c>
      <c r="O56" s="5" t="str">
        <f>TEXT(Table2[[#This Row],[Date]],"mmm")</f>
        <v>Jun</v>
      </c>
      <c r="R56">
        <f>SUMIF(Table2[Product_Name],F58,Table2[[#All],[Quantity]])</f>
        <v>84</v>
      </c>
    </row>
    <row r="57" spans="1:18" ht="15.75" customHeight="1" x14ac:dyDescent="0.3">
      <c r="A57" s="5" t="s">
        <v>176</v>
      </c>
      <c r="B57" s="6">
        <v>45469</v>
      </c>
      <c r="C57" s="5" t="s">
        <v>61</v>
      </c>
      <c r="D57" s="5" t="s">
        <v>62</v>
      </c>
      <c r="E57" s="5" t="s">
        <v>119</v>
      </c>
      <c r="F57" s="5" t="s">
        <v>120</v>
      </c>
      <c r="G57" s="5" t="s">
        <v>21</v>
      </c>
      <c r="H57" s="5">
        <v>2</v>
      </c>
      <c r="I57" s="5">
        <v>89.99</v>
      </c>
      <c r="J57" s="5" t="s">
        <v>22</v>
      </c>
      <c r="K57" s="5" t="s">
        <v>52</v>
      </c>
      <c r="L57" s="5" t="s">
        <v>24</v>
      </c>
      <c r="M57" s="6">
        <v>44438</v>
      </c>
      <c r="N57" s="5">
        <v>179.98</v>
      </c>
      <c r="O57" s="5" t="str">
        <f>TEXT(Table2[[#This Row],[Date]],"mmm")</f>
        <v>Jun</v>
      </c>
      <c r="R57">
        <f>SUMIF(Table2[Product_Name],F59,Table2[[#All],[Quantity]])</f>
        <v>67</v>
      </c>
    </row>
    <row r="58" spans="1:18" ht="15.75" customHeight="1" x14ac:dyDescent="0.3">
      <c r="A58" s="5" t="s">
        <v>177</v>
      </c>
      <c r="B58" s="6">
        <v>45471</v>
      </c>
      <c r="C58" s="5" t="s">
        <v>40</v>
      </c>
      <c r="D58" s="5" t="s">
        <v>41</v>
      </c>
      <c r="E58" s="5" t="s">
        <v>82</v>
      </c>
      <c r="F58" s="5" t="s">
        <v>83</v>
      </c>
      <c r="G58" s="5" t="s">
        <v>21</v>
      </c>
      <c r="H58" s="5">
        <v>3</v>
      </c>
      <c r="I58" s="5">
        <v>699.99</v>
      </c>
      <c r="J58" s="5" t="s">
        <v>28</v>
      </c>
      <c r="K58" s="5" t="s">
        <v>65</v>
      </c>
      <c r="L58" s="5" t="s">
        <v>29</v>
      </c>
      <c r="M58" s="6">
        <v>45102</v>
      </c>
      <c r="N58" s="5">
        <v>2099.9699999999998</v>
      </c>
      <c r="O58" s="5" t="str">
        <f>TEXT(Table2[[#This Row],[Date]],"mmm")</f>
        <v>Jun</v>
      </c>
      <c r="R58">
        <f>SUMIF(Table2[Product_Name],F60,Table2[[#All],[Quantity]])</f>
        <v>108</v>
      </c>
    </row>
    <row r="59" spans="1:18" ht="15.75" customHeight="1" x14ac:dyDescent="0.3">
      <c r="A59" s="5" t="s">
        <v>178</v>
      </c>
      <c r="B59" s="6">
        <v>45471</v>
      </c>
      <c r="C59" s="5" t="s">
        <v>101</v>
      </c>
      <c r="D59" s="5" t="s">
        <v>102</v>
      </c>
      <c r="E59" s="5" t="s">
        <v>63</v>
      </c>
      <c r="F59" s="5" t="s">
        <v>64</v>
      </c>
      <c r="G59" s="5" t="s">
        <v>21</v>
      </c>
      <c r="H59" s="5">
        <v>4</v>
      </c>
      <c r="I59" s="5">
        <v>899.99</v>
      </c>
      <c r="J59" s="5" t="s">
        <v>28</v>
      </c>
      <c r="K59" s="5" t="s">
        <v>65</v>
      </c>
      <c r="L59" s="5" t="s">
        <v>29</v>
      </c>
      <c r="M59" s="6">
        <v>44993</v>
      </c>
      <c r="N59" s="5">
        <v>3599.96</v>
      </c>
      <c r="O59" s="5" t="str">
        <f>TEXT(Table2[[#This Row],[Date]],"mmm")</f>
        <v>Jun</v>
      </c>
      <c r="R59">
        <f>SUMIF(Table2[Product_Name],F61,Table2[[#All],[Quantity]])</f>
        <v>99</v>
      </c>
    </row>
    <row r="60" spans="1:18" ht="15.75" customHeight="1" x14ac:dyDescent="0.3">
      <c r="A60" s="5" t="s">
        <v>179</v>
      </c>
      <c r="B60" s="6">
        <v>45472</v>
      </c>
      <c r="C60" s="5" t="s">
        <v>122</v>
      </c>
      <c r="D60" s="5" t="s">
        <v>123</v>
      </c>
      <c r="E60" s="5" t="s">
        <v>46</v>
      </c>
      <c r="F60" s="5" t="s">
        <v>47</v>
      </c>
      <c r="G60" s="5" t="s">
        <v>48</v>
      </c>
      <c r="H60" s="5">
        <v>1</v>
      </c>
      <c r="I60" s="5">
        <v>149.99</v>
      </c>
      <c r="J60" s="5" t="s">
        <v>36</v>
      </c>
      <c r="K60" s="5" t="s">
        <v>65</v>
      </c>
      <c r="L60" s="5" t="s">
        <v>24</v>
      </c>
      <c r="M60" s="6">
        <v>44851</v>
      </c>
      <c r="N60" s="5">
        <v>149.99</v>
      </c>
      <c r="O60" s="5" t="str">
        <f>TEXT(Table2[[#This Row],[Date]],"mmm")</f>
        <v>Jun</v>
      </c>
      <c r="R60">
        <f>SUMIF(Table2[Product_Name],F62,Table2[[#All],[Quantity]])</f>
        <v>99</v>
      </c>
    </row>
    <row r="61" spans="1:18" ht="15.75" customHeight="1" x14ac:dyDescent="0.3">
      <c r="A61" s="5" t="s">
        <v>180</v>
      </c>
      <c r="B61" s="6">
        <v>45474</v>
      </c>
      <c r="C61" s="5" t="s">
        <v>134</v>
      </c>
      <c r="D61" s="5" t="s">
        <v>135</v>
      </c>
      <c r="E61" s="5" t="s">
        <v>119</v>
      </c>
      <c r="F61" s="5" t="s">
        <v>120</v>
      </c>
      <c r="G61" s="5" t="s">
        <v>21</v>
      </c>
      <c r="H61" s="5">
        <v>2</v>
      </c>
      <c r="I61" s="5">
        <v>89.99</v>
      </c>
      <c r="J61" s="5" t="s">
        <v>36</v>
      </c>
      <c r="K61" s="5" t="s">
        <v>23</v>
      </c>
      <c r="L61" s="5" t="s">
        <v>29</v>
      </c>
      <c r="M61" s="6">
        <v>45275</v>
      </c>
      <c r="N61" s="5">
        <v>179.98</v>
      </c>
      <c r="O61" s="5" t="str">
        <f>TEXT(Table2[[#This Row],[Date]],"mmm")</f>
        <v>Jul</v>
      </c>
      <c r="R61">
        <f>SUMIF(Table2[Product_Name],F63,Table2[[#All],[Quantity]])</f>
        <v>99</v>
      </c>
    </row>
    <row r="62" spans="1:18" ht="15.75" customHeight="1" x14ac:dyDescent="0.3">
      <c r="A62" s="5" t="s">
        <v>181</v>
      </c>
      <c r="B62" s="6">
        <v>45475</v>
      </c>
      <c r="C62" s="5" t="s">
        <v>57</v>
      </c>
      <c r="D62" s="5" t="s">
        <v>58</v>
      </c>
      <c r="E62" s="5" t="s">
        <v>119</v>
      </c>
      <c r="F62" s="5" t="s">
        <v>120</v>
      </c>
      <c r="G62" s="5" t="s">
        <v>21</v>
      </c>
      <c r="H62" s="5">
        <v>1</v>
      </c>
      <c r="I62" s="5">
        <v>89.99</v>
      </c>
      <c r="J62" s="5" t="s">
        <v>36</v>
      </c>
      <c r="K62" s="5" t="s">
        <v>52</v>
      </c>
      <c r="L62" s="5" t="s">
        <v>38</v>
      </c>
      <c r="M62" s="6">
        <v>44802</v>
      </c>
      <c r="N62" s="5">
        <v>89.99</v>
      </c>
      <c r="O62" s="5" t="str">
        <f>TEXT(Table2[[#This Row],[Date]],"mmm")</f>
        <v>Jul</v>
      </c>
      <c r="R62">
        <f>SUMIF(Table2[Product_Name],F64,Table2[[#All],[Quantity]])</f>
        <v>50</v>
      </c>
    </row>
    <row r="63" spans="1:18" ht="15.75" customHeight="1" x14ac:dyDescent="0.3">
      <c r="A63" s="5" t="s">
        <v>182</v>
      </c>
      <c r="B63" s="6">
        <v>45476</v>
      </c>
      <c r="C63" s="5" t="s">
        <v>70</v>
      </c>
      <c r="D63" s="5" t="s">
        <v>71</v>
      </c>
      <c r="E63" s="5" t="s">
        <v>119</v>
      </c>
      <c r="F63" s="5" t="s">
        <v>120</v>
      </c>
      <c r="G63" s="5" t="s">
        <v>21</v>
      </c>
      <c r="H63" s="5">
        <v>1</v>
      </c>
      <c r="I63" s="5">
        <v>89.99</v>
      </c>
      <c r="J63" s="5" t="s">
        <v>22</v>
      </c>
      <c r="K63" s="5" t="s">
        <v>37</v>
      </c>
      <c r="L63" s="5" t="s">
        <v>38</v>
      </c>
      <c r="M63" s="6">
        <v>44611</v>
      </c>
      <c r="N63" s="5">
        <v>89.99</v>
      </c>
      <c r="O63" s="5" t="str">
        <f>TEXT(Table2[[#This Row],[Date]],"mmm")</f>
        <v>Jul</v>
      </c>
      <c r="R63">
        <f>SUMIF(Table2[Product_Name],F65,Table2[[#All],[Quantity]])</f>
        <v>108</v>
      </c>
    </row>
    <row r="64" spans="1:18" ht="15.75" customHeight="1" x14ac:dyDescent="0.3">
      <c r="A64" s="5" t="s">
        <v>183</v>
      </c>
      <c r="B64" s="6">
        <v>45476</v>
      </c>
      <c r="C64" s="5" t="s">
        <v>184</v>
      </c>
      <c r="D64" s="5" t="s">
        <v>185</v>
      </c>
      <c r="E64" s="5" t="s">
        <v>116</v>
      </c>
      <c r="F64" s="5" t="s">
        <v>117</v>
      </c>
      <c r="G64" s="5" t="s">
        <v>35</v>
      </c>
      <c r="H64" s="5">
        <v>5</v>
      </c>
      <c r="I64" s="5">
        <v>79.989999999999995</v>
      </c>
      <c r="J64" s="5" t="s">
        <v>59</v>
      </c>
      <c r="K64" s="5" t="s">
        <v>23</v>
      </c>
      <c r="L64" s="5" t="s">
        <v>24</v>
      </c>
      <c r="M64" s="6">
        <v>44981</v>
      </c>
      <c r="N64" s="5">
        <v>399.95</v>
      </c>
      <c r="O64" s="5" t="str">
        <f>TEXT(Table2[[#This Row],[Date]],"mmm")</f>
        <v>Jul</v>
      </c>
      <c r="R64">
        <f>SUMIF(Table2[Product_Name],F66,Table2[[#All],[Quantity]])</f>
        <v>84</v>
      </c>
    </row>
    <row r="65" spans="1:18" ht="15.75" customHeight="1" x14ac:dyDescent="0.3">
      <c r="A65" s="5" t="s">
        <v>186</v>
      </c>
      <c r="B65" s="6">
        <v>45481</v>
      </c>
      <c r="C65" s="5" t="s">
        <v>187</v>
      </c>
      <c r="D65" s="5" t="s">
        <v>188</v>
      </c>
      <c r="E65" s="5" t="s">
        <v>46</v>
      </c>
      <c r="F65" s="5" t="s">
        <v>47</v>
      </c>
      <c r="G65" s="5" t="s">
        <v>48</v>
      </c>
      <c r="H65" s="5">
        <v>1</v>
      </c>
      <c r="I65" s="5">
        <v>149.99</v>
      </c>
      <c r="J65" s="5" t="s">
        <v>36</v>
      </c>
      <c r="K65" s="5" t="s">
        <v>42</v>
      </c>
      <c r="L65" s="5" t="s">
        <v>24</v>
      </c>
      <c r="M65" s="6">
        <v>44421</v>
      </c>
      <c r="N65" s="5">
        <v>149.99</v>
      </c>
      <c r="O65" s="5" t="str">
        <f>TEXT(Table2[[#This Row],[Date]],"mmm")</f>
        <v>Jul</v>
      </c>
      <c r="R65">
        <f>SUMIF(Table2[Product_Name],F67,Table2[[#All],[Quantity]])</f>
        <v>99</v>
      </c>
    </row>
    <row r="66" spans="1:18" ht="15.75" customHeight="1" x14ac:dyDescent="0.3">
      <c r="A66" s="5" t="s">
        <v>189</v>
      </c>
      <c r="B66" s="6">
        <v>45481</v>
      </c>
      <c r="C66" s="5" t="s">
        <v>44</v>
      </c>
      <c r="D66" s="5" t="s">
        <v>45</v>
      </c>
      <c r="E66" s="5" t="s">
        <v>82</v>
      </c>
      <c r="F66" s="5" t="s">
        <v>83</v>
      </c>
      <c r="G66" s="5" t="s">
        <v>21</v>
      </c>
      <c r="H66" s="5">
        <v>2</v>
      </c>
      <c r="I66" s="5">
        <v>699.99</v>
      </c>
      <c r="J66" s="5" t="s">
        <v>36</v>
      </c>
      <c r="K66" s="5" t="s">
        <v>65</v>
      </c>
      <c r="L66" s="5" t="s">
        <v>29</v>
      </c>
      <c r="M66" s="6">
        <v>45389</v>
      </c>
      <c r="N66" s="5">
        <v>1399.98</v>
      </c>
      <c r="O66" s="5" t="str">
        <f>TEXT(Table2[[#This Row],[Date]],"mmm")</f>
        <v>Jul</v>
      </c>
      <c r="R66">
        <f>SUMIF(Table2[Product_Name],F68,Table2[[#All],[Quantity]])</f>
        <v>98</v>
      </c>
    </row>
    <row r="67" spans="1:18" ht="15.75" customHeight="1" x14ac:dyDescent="0.3">
      <c r="A67" s="5" t="s">
        <v>190</v>
      </c>
      <c r="B67" s="6">
        <v>45481</v>
      </c>
      <c r="C67" s="5" t="s">
        <v>98</v>
      </c>
      <c r="D67" s="5" t="s">
        <v>99</v>
      </c>
      <c r="E67" s="5" t="s">
        <v>119</v>
      </c>
      <c r="F67" s="5" t="s">
        <v>120</v>
      </c>
      <c r="G67" s="5" t="s">
        <v>21</v>
      </c>
      <c r="H67" s="5">
        <v>5</v>
      </c>
      <c r="I67" s="5">
        <v>89.99</v>
      </c>
      <c r="J67" s="5" t="s">
        <v>59</v>
      </c>
      <c r="K67" s="5" t="s">
        <v>42</v>
      </c>
      <c r="L67" s="5" t="s">
        <v>29</v>
      </c>
      <c r="M67" s="6">
        <v>45161</v>
      </c>
      <c r="N67" s="5">
        <v>449.95</v>
      </c>
      <c r="O67" s="5" t="str">
        <f>TEXT(Table2[[#This Row],[Date]],"mmm")</f>
        <v>Jul</v>
      </c>
      <c r="R67">
        <f>SUMIF(Table2[Product_Name],F69,Table2[[#All],[Quantity]])</f>
        <v>48</v>
      </c>
    </row>
    <row r="68" spans="1:18" ht="15.75" customHeight="1" x14ac:dyDescent="0.3">
      <c r="A68" s="5" t="s">
        <v>191</v>
      </c>
      <c r="B68" s="6">
        <v>45482</v>
      </c>
      <c r="C68" s="5" t="s">
        <v>173</v>
      </c>
      <c r="D68" s="5" t="s">
        <v>174</v>
      </c>
      <c r="E68" s="5" t="s">
        <v>33</v>
      </c>
      <c r="F68" s="5" t="s">
        <v>34</v>
      </c>
      <c r="G68" s="5" t="s">
        <v>35</v>
      </c>
      <c r="H68" s="5">
        <v>4</v>
      </c>
      <c r="I68" s="5">
        <v>59.99</v>
      </c>
      <c r="J68" s="5" t="s">
        <v>22</v>
      </c>
      <c r="K68" s="5" t="s">
        <v>37</v>
      </c>
      <c r="L68" s="5" t="s">
        <v>38</v>
      </c>
      <c r="M68" s="6">
        <v>44509</v>
      </c>
      <c r="N68" s="5">
        <v>239.96</v>
      </c>
      <c r="O68" s="5" t="str">
        <f>TEXT(Table2[[#This Row],[Date]],"mmm")</f>
        <v>Jul</v>
      </c>
      <c r="R68">
        <f>SUMIF(Table2[Product_Name],F70,Table2[[#All],[Quantity]])</f>
        <v>67</v>
      </c>
    </row>
    <row r="69" spans="1:18" ht="15.75" customHeight="1" x14ac:dyDescent="0.3">
      <c r="A69" s="5" t="s">
        <v>192</v>
      </c>
      <c r="B69" s="6">
        <v>45484</v>
      </c>
      <c r="C69" s="5" t="s">
        <v>26</v>
      </c>
      <c r="D69" s="5" t="s">
        <v>27</v>
      </c>
      <c r="E69" s="5" t="s">
        <v>54</v>
      </c>
      <c r="F69" s="5" t="s">
        <v>55</v>
      </c>
      <c r="G69" s="5" t="s">
        <v>21</v>
      </c>
      <c r="H69" s="5">
        <v>1</v>
      </c>
      <c r="I69" s="5">
        <v>149.99</v>
      </c>
      <c r="J69" s="5" t="s">
        <v>22</v>
      </c>
      <c r="K69" s="5" t="s">
        <v>23</v>
      </c>
      <c r="L69" s="5" t="s">
        <v>38</v>
      </c>
      <c r="M69" s="6">
        <v>44909</v>
      </c>
      <c r="N69" s="5">
        <v>149.99</v>
      </c>
      <c r="O69" s="5" t="str">
        <f>TEXT(Table2[[#This Row],[Date]],"mmm")</f>
        <v>Jul</v>
      </c>
      <c r="R69">
        <f>SUMIF(Table2[Product_Name],F71,Table2[[#All],[Quantity]])</f>
        <v>43</v>
      </c>
    </row>
    <row r="70" spans="1:18" ht="15.75" customHeight="1" x14ac:dyDescent="0.3">
      <c r="A70" s="5" t="s">
        <v>193</v>
      </c>
      <c r="B70" s="6">
        <v>45484</v>
      </c>
      <c r="C70" s="5" t="s">
        <v>194</v>
      </c>
      <c r="D70" s="5" t="s">
        <v>195</v>
      </c>
      <c r="E70" s="5" t="s">
        <v>107</v>
      </c>
      <c r="F70" s="5" t="s">
        <v>108</v>
      </c>
      <c r="G70" s="5" t="s">
        <v>48</v>
      </c>
      <c r="H70" s="5">
        <v>1</v>
      </c>
      <c r="I70" s="5">
        <v>299.99</v>
      </c>
      <c r="J70" s="5" t="s">
        <v>28</v>
      </c>
      <c r="K70" s="5" t="s">
        <v>42</v>
      </c>
      <c r="L70" s="5" t="s">
        <v>29</v>
      </c>
      <c r="M70" s="6">
        <v>44891</v>
      </c>
      <c r="N70" s="5">
        <v>299.99</v>
      </c>
      <c r="O70" s="5" t="str">
        <f>TEXT(Table2[[#This Row],[Date]],"mmm")</f>
        <v>Jul</v>
      </c>
      <c r="R70">
        <f>SUMIF(Table2[Product_Name],F72,Table2[[#All],[Quantity]])</f>
        <v>98</v>
      </c>
    </row>
    <row r="71" spans="1:18" ht="15.75" customHeight="1" x14ac:dyDescent="0.3">
      <c r="A71" s="5" t="s">
        <v>196</v>
      </c>
      <c r="B71" s="6">
        <v>45487</v>
      </c>
      <c r="C71" s="5" t="s">
        <v>194</v>
      </c>
      <c r="D71" s="5" t="s">
        <v>195</v>
      </c>
      <c r="E71" s="5" t="s">
        <v>128</v>
      </c>
      <c r="F71" s="5" t="s">
        <v>129</v>
      </c>
      <c r="G71" s="5" t="s">
        <v>48</v>
      </c>
      <c r="H71" s="5">
        <v>2</v>
      </c>
      <c r="I71" s="5">
        <v>199.99</v>
      </c>
      <c r="J71" s="5" t="s">
        <v>22</v>
      </c>
      <c r="K71" s="5" t="s">
        <v>42</v>
      </c>
      <c r="L71" s="5" t="s">
        <v>24</v>
      </c>
      <c r="M71" s="6">
        <v>44541</v>
      </c>
      <c r="N71" s="5">
        <v>399.98</v>
      </c>
      <c r="O71" s="5" t="str">
        <f>TEXT(Table2[[#This Row],[Date]],"mmm")</f>
        <v>Jul</v>
      </c>
      <c r="R71">
        <f>SUMIF(Table2[Product_Name],F73,Table2[[#All],[Quantity]])</f>
        <v>108</v>
      </c>
    </row>
    <row r="72" spans="1:18" ht="15.75" customHeight="1" x14ac:dyDescent="0.3">
      <c r="A72" s="5" t="s">
        <v>197</v>
      </c>
      <c r="B72" s="6">
        <v>45490</v>
      </c>
      <c r="C72" s="5" t="s">
        <v>198</v>
      </c>
      <c r="D72" s="5" t="s">
        <v>199</v>
      </c>
      <c r="E72" s="5" t="s">
        <v>33</v>
      </c>
      <c r="F72" s="5" t="s">
        <v>34</v>
      </c>
      <c r="G72" s="5" t="s">
        <v>35</v>
      </c>
      <c r="H72" s="5">
        <v>3</v>
      </c>
      <c r="I72" s="5">
        <v>59.99</v>
      </c>
      <c r="J72" s="5" t="s">
        <v>28</v>
      </c>
      <c r="K72" s="5" t="s">
        <v>52</v>
      </c>
      <c r="L72" s="5" t="s">
        <v>24</v>
      </c>
      <c r="M72" s="6">
        <v>45130</v>
      </c>
      <c r="N72" s="5">
        <v>179.97</v>
      </c>
      <c r="O72" s="5" t="str">
        <f>TEXT(Table2[[#This Row],[Date]],"mmm")</f>
        <v>Jul</v>
      </c>
      <c r="R72">
        <f>SUMIF(Table2[Product_Name],F74,Table2[[#All],[Quantity]])</f>
        <v>43</v>
      </c>
    </row>
    <row r="73" spans="1:18" ht="15.75" customHeight="1" x14ac:dyDescent="0.3">
      <c r="A73" s="5" t="s">
        <v>200</v>
      </c>
      <c r="B73" s="6">
        <v>45490</v>
      </c>
      <c r="C73" s="5" t="s">
        <v>74</v>
      </c>
      <c r="D73" s="5" t="s">
        <v>75</v>
      </c>
      <c r="E73" s="5" t="s">
        <v>46</v>
      </c>
      <c r="F73" s="5" t="s">
        <v>47</v>
      </c>
      <c r="G73" s="5" t="s">
        <v>48</v>
      </c>
      <c r="H73" s="5">
        <v>3</v>
      </c>
      <c r="I73" s="5">
        <v>149.99</v>
      </c>
      <c r="J73" s="5" t="s">
        <v>22</v>
      </c>
      <c r="K73" s="5" t="s">
        <v>23</v>
      </c>
      <c r="L73" s="5" t="s">
        <v>29</v>
      </c>
      <c r="M73" s="6">
        <v>45199</v>
      </c>
      <c r="N73" s="5">
        <v>449.97</v>
      </c>
      <c r="O73" s="5" t="str">
        <f>TEXT(Table2[[#This Row],[Date]],"mmm")</f>
        <v>Jul</v>
      </c>
      <c r="R73">
        <f>SUMIF(Table2[Product_Name],F75,Table2[[#All],[Quantity]])</f>
        <v>67</v>
      </c>
    </row>
    <row r="74" spans="1:18" ht="15.75" customHeight="1" x14ac:dyDescent="0.3">
      <c r="A74" s="5" t="s">
        <v>201</v>
      </c>
      <c r="B74" s="6">
        <v>45491</v>
      </c>
      <c r="C74" s="5" t="s">
        <v>67</v>
      </c>
      <c r="D74" s="5" t="s">
        <v>68</v>
      </c>
      <c r="E74" s="5" t="s">
        <v>128</v>
      </c>
      <c r="F74" s="5" t="s">
        <v>129</v>
      </c>
      <c r="G74" s="5" t="s">
        <v>48</v>
      </c>
      <c r="H74" s="5">
        <v>3</v>
      </c>
      <c r="I74" s="5">
        <v>199.99</v>
      </c>
      <c r="J74" s="5" t="s">
        <v>22</v>
      </c>
      <c r="K74" s="5" t="s">
        <v>42</v>
      </c>
      <c r="L74" s="5" t="s">
        <v>29</v>
      </c>
      <c r="M74" s="6">
        <v>45254</v>
      </c>
      <c r="N74" s="5">
        <v>599.97</v>
      </c>
      <c r="O74" s="5" t="str">
        <f>TEXT(Table2[[#This Row],[Date]],"mmm")</f>
        <v>Jul</v>
      </c>
      <c r="R74">
        <f>SUMIF(Table2[Product_Name],F76,Table2[[#All],[Quantity]])</f>
        <v>67</v>
      </c>
    </row>
    <row r="75" spans="1:18" ht="15.75" customHeight="1" x14ac:dyDescent="0.3">
      <c r="A75" s="5" t="s">
        <v>202</v>
      </c>
      <c r="B75" s="6">
        <v>45496</v>
      </c>
      <c r="C75" s="5" t="s">
        <v>152</v>
      </c>
      <c r="D75" s="5" t="s">
        <v>153</v>
      </c>
      <c r="E75" s="5" t="s">
        <v>63</v>
      </c>
      <c r="F75" s="5" t="s">
        <v>64</v>
      </c>
      <c r="G75" s="5" t="s">
        <v>21</v>
      </c>
      <c r="H75" s="5">
        <v>1</v>
      </c>
      <c r="I75" s="5">
        <v>899.99</v>
      </c>
      <c r="J75" s="5" t="s">
        <v>22</v>
      </c>
      <c r="K75" s="5" t="s">
        <v>23</v>
      </c>
      <c r="L75" s="5" t="s">
        <v>38</v>
      </c>
      <c r="M75" s="6">
        <v>45179</v>
      </c>
      <c r="N75" s="5">
        <v>899.99</v>
      </c>
      <c r="O75" s="5" t="str">
        <f>TEXT(Table2[[#This Row],[Date]],"mmm")</f>
        <v>Jul</v>
      </c>
      <c r="R75">
        <f>SUMIF(Table2[Product_Name],F77,Table2[[#All],[Quantity]])</f>
        <v>98</v>
      </c>
    </row>
    <row r="76" spans="1:18" ht="15.75" customHeight="1" x14ac:dyDescent="0.3">
      <c r="A76" s="5" t="s">
        <v>203</v>
      </c>
      <c r="B76" s="6">
        <v>45497</v>
      </c>
      <c r="C76" s="5" t="s">
        <v>26</v>
      </c>
      <c r="D76" s="5" t="s">
        <v>27</v>
      </c>
      <c r="E76" s="5" t="s">
        <v>63</v>
      </c>
      <c r="F76" s="5" t="s">
        <v>64</v>
      </c>
      <c r="G76" s="5" t="s">
        <v>21</v>
      </c>
      <c r="H76" s="5">
        <v>5</v>
      </c>
      <c r="I76" s="5">
        <v>899.99</v>
      </c>
      <c r="J76" s="5" t="s">
        <v>59</v>
      </c>
      <c r="K76" s="5" t="s">
        <v>37</v>
      </c>
      <c r="L76" s="5" t="s">
        <v>38</v>
      </c>
      <c r="M76" s="6">
        <v>44899</v>
      </c>
      <c r="N76" s="5">
        <v>4499.95</v>
      </c>
      <c r="O76" s="5" t="str">
        <f>TEXT(Table2[[#This Row],[Date]],"mmm")</f>
        <v>Jul</v>
      </c>
      <c r="R76">
        <f>SUMIF(Table2[Product_Name],F78,Table2[[#All],[Quantity]])</f>
        <v>86</v>
      </c>
    </row>
    <row r="77" spans="1:18" ht="15.75" customHeight="1" x14ac:dyDescent="0.3">
      <c r="A77" s="5" t="s">
        <v>204</v>
      </c>
      <c r="B77" s="6">
        <v>45498</v>
      </c>
      <c r="C77" s="5" t="s">
        <v>184</v>
      </c>
      <c r="D77" s="5" t="s">
        <v>185</v>
      </c>
      <c r="E77" s="5" t="s">
        <v>33</v>
      </c>
      <c r="F77" s="5" t="s">
        <v>34</v>
      </c>
      <c r="G77" s="5" t="s">
        <v>35</v>
      </c>
      <c r="H77" s="5">
        <v>2</v>
      </c>
      <c r="I77" s="5">
        <v>59.99</v>
      </c>
      <c r="J77" s="5" t="s">
        <v>22</v>
      </c>
      <c r="K77" s="5" t="s">
        <v>42</v>
      </c>
      <c r="L77" s="5" t="s">
        <v>38</v>
      </c>
      <c r="M77" s="6">
        <v>45152</v>
      </c>
      <c r="N77" s="5">
        <v>119.98</v>
      </c>
      <c r="O77" s="5" t="str">
        <f>TEXT(Table2[[#This Row],[Date]],"mmm")</f>
        <v>Jul</v>
      </c>
      <c r="R77">
        <f>SUMIF(Table2[Product_Name],F79,Table2[[#All],[Quantity]])</f>
        <v>86</v>
      </c>
    </row>
    <row r="78" spans="1:18" ht="15.75" customHeight="1" x14ac:dyDescent="0.3">
      <c r="A78" s="5" t="s">
        <v>205</v>
      </c>
      <c r="B78" s="6">
        <v>45498</v>
      </c>
      <c r="C78" s="5" t="s">
        <v>198</v>
      </c>
      <c r="D78" s="5" t="s">
        <v>199</v>
      </c>
      <c r="E78" s="5" t="s">
        <v>19</v>
      </c>
      <c r="F78" s="5" t="s">
        <v>20</v>
      </c>
      <c r="G78" s="5" t="s">
        <v>21</v>
      </c>
      <c r="H78" s="5">
        <v>4</v>
      </c>
      <c r="I78" s="5">
        <v>249.99</v>
      </c>
      <c r="J78" s="5" t="s">
        <v>59</v>
      </c>
      <c r="K78" s="5" t="s">
        <v>23</v>
      </c>
      <c r="L78" s="5" t="s">
        <v>38</v>
      </c>
      <c r="M78" s="6">
        <v>45127</v>
      </c>
      <c r="N78" s="5">
        <v>999.96</v>
      </c>
      <c r="O78" s="5" t="str">
        <f>TEXT(Table2[[#This Row],[Date]],"mmm")</f>
        <v>Jul</v>
      </c>
      <c r="R78">
        <f>SUMIF(Table2[Product_Name],F80,Table2[[#All],[Quantity]])</f>
        <v>67</v>
      </c>
    </row>
    <row r="79" spans="1:18" ht="15.75" customHeight="1" x14ac:dyDescent="0.3">
      <c r="A79" s="5" t="s">
        <v>206</v>
      </c>
      <c r="B79" s="6">
        <v>45500</v>
      </c>
      <c r="C79" s="5" t="s">
        <v>98</v>
      </c>
      <c r="D79" s="5" t="s">
        <v>99</v>
      </c>
      <c r="E79" s="5" t="s">
        <v>19</v>
      </c>
      <c r="F79" s="5" t="s">
        <v>20</v>
      </c>
      <c r="G79" s="5" t="s">
        <v>21</v>
      </c>
      <c r="H79" s="5">
        <v>2</v>
      </c>
      <c r="I79" s="5">
        <v>249.99</v>
      </c>
      <c r="J79" s="5" t="s">
        <v>22</v>
      </c>
      <c r="K79" s="5" t="s">
        <v>42</v>
      </c>
      <c r="L79" s="5" t="s">
        <v>29</v>
      </c>
      <c r="M79" s="6">
        <v>45164</v>
      </c>
      <c r="N79" s="5">
        <v>499.98</v>
      </c>
      <c r="O79" s="5" t="str">
        <f>TEXT(Table2[[#This Row],[Date]],"mmm")</f>
        <v>Jul</v>
      </c>
      <c r="R79">
        <f>SUMIF(Table2[Product_Name],F81,Table2[[#All],[Quantity]])</f>
        <v>99</v>
      </c>
    </row>
    <row r="80" spans="1:18" ht="15.75" customHeight="1" x14ac:dyDescent="0.3">
      <c r="A80" s="5" t="s">
        <v>207</v>
      </c>
      <c r="B80" s="6">
        <v>45500</v>
      </c>
      <c r="C80" s="5" t="s">
        <v>149</v>
      </c>
      <c r="D80" s="5" t="s">
        <v>150</v>
      </c>
      <c r="E80" s="5" t="s">
        <v>107</v>
      </c>
      <c r="F80" s="5" t="s">
        <v>108</v>
      </c>
      <c r="G80" s="5" t="s">
        <v>48</v>
      </c>
      <c r="H80" s="5">
        <v>1</v>
      </c>
      <c r="I80" s="5">
        <v>299.99</v>
      </c>
      <c r="J80" s="5" t="s">
        <v>22</v>
      </c>
      <c r="K80" s="5" t="s">
        <v>37</v>
      </c>
      <c r="L80" s="5" t="s">
        <v>24</v>
      </c>
      <c r="M80" s="6">
        <v>44982</v>
      </c>
      <c r="N80" s="5">
        <v>299.99</v>
      </c>
      <c r="O80" s="5" t="str">
        <f>TEXT(Table2[[#This Row],[Date]],"mmm")</f>
        <v>Jul</v>
      </c>
      <c r="R80">
        <f>SUMIF(Table2[Product_Name],F82,Table2[[#All],[Quantity]])</f>
        <v>67</v>
      </c>
    </row>
    <row r="81" spans="1:18" ht="15.75" customHeight="1" x14ac:dyDescent="0.3">
      <c r="A81" s="5" t="s">
        <v>208</v>
      </c>
      <c r="B81" s="6">
        <v>45501</v>
      </c>
      <c r="C81" s="5" t="s">
        <v>88</v>
      </c>
      <c r="D81" s="5" t="s">
        <v>89</v>
      </c>
      <c r="E81" s="5" t="s">
        <v>119</v>
      </c>
      <c r="F81" s="5" t="s">
        <v>120</v>
      </c>
      <c r="G81" s="5" t="s">
        <v>21</v>
      </c>
      <c r="H81" s="5">
        <v>2</v>
      </c>
      <c r="I81" s="5">
        <v>89.99</v>
      </c>
      <c r="J81" s="5" t="s">
        <v>36</v>
      </c>
      <c r="K81" s="5" t="s">
        <v>37</v>
      </c>
      <c r="L81" s="5" t="s">
        <v>24</v>
      </c>
      <c r="M81" s="6">
        <v>44976</v>
      </c>
      <c r="N81" s="5">
        <v>179.98</v>
      </c>
      <c r="O81" s="5" t="str">
        <f>TEXT(Table2[[#This Row],[Date]],"mmm")</f>
        <v>Jul</v>
      </c>
      <c r="R81">
        <f>SUMIF(Table2[Product_Name],F83,Table2[[#All],[Quantity]])</f>
        <v>84</v>
      </c>
    </row>
    <row r="82" spans="1:18" ht="15.75" customHeight="1" x14ac:dyDescent="0.3">
      <c r="A82" s="5" t="s">
        <v>209</v>
      </c>
      <c r="B82" s="6">
        <v>45501</v>
      </c>
      <c r="C82" s="5" t="s">
        <v>149</v>
      </c>
      <c r="D82" s="5" t="s">
        <v>150</v>
      </c>
      <c r="E82" s="5" t="s">
        <v>107</v>
      </c>
      <c r="F82" s="5" t="s">
        <v>108</v>
      </c>
      <c r="G82" s="5" t="s">
        <v>48</v>
      </c>
      <c r="H82" s="5">
        <v>3</v>
      </c>
      <c r="I82" s="5">
        <v>299.99</v>
      </c>
      <c r="J82" s="5" t="s">
        <v>22</v>
      </c>
      <c r="K82" s="5" t="s">
        <v>23</v>
      </c>
      <c r="L82" s="5" t="s">
        <v>24</v>
      </c>
      <c r="M82" s="6">
        <v>44732</v>
      </c>
      <c r="N82" s="5">
        <v>899.97</v>
      </c>
      <c r="O82" s="5" t="str">
        <f>TEXT(Table2[[#This Row],[Date]],"mmm")</f>
        <v>Jul</v>
      </c>
      <c r="R82">
        <f>SUMIF(Table2[Product_Name],F84,Table2[[#All],[Quantity]])</f>
        <v>67</v>
      </c>
    </row>
    <row r="83" spans="1:18" ht="15.75" customHeight="1" x14ac:dyDescent="0.3">
      <c r="A83" s="5" t="s">
        <v>210</v>
      </c>
      <c r="B83" s="6">
        <v>45503</v>
      </c>
      <c r="C83" s="5" t="s">
        <v>88</v>
      </c>
      <c r="D83" s="5" t="s">
        <v>89</v>
      </c>
      <c r="E83" s="5" t="s">
        <v>82</v>
      </c>
      <c r="F83" s="5" t="s">
        <v>83</v>
      </c>
      <c r="G83" s="5" t="s">
        <v>21</v>
      </c>
      <c r="H83" s="5">
        <v>2</v>
      </c>
      <c r="I83" s="5">
        <v>699.99</v>
      </c>
      <c r="J83" s="5" t="s">
        <v>28</v>
      </c>
      <c r="K83" s="5" t="s">
        <v>42</v>
      </c>
      <c r="L83" s="5" t="s">
        <v>29</v>
      </c>
      <c r="M83" s="6">
        <v>44999</v>
      </c>
      <c r="N83" s="5">
        <v>1399.98</v>
      </c>
      <c r="O83" s="5" t="str">
        <f>TEXT(Table2[[#This Row],[Date]],"mmm")</f>
        <v>Jul</v>
      </c>
      <c r="R83">
        <f>SUMIF(Table2[Product_Name],F85,Table2[[#All],[Quantity]])</f>
        <v>108</v>
      </c>
    </row>
    <row r="84" spans="1:18" ht="15.75" customHeight="1" x14ac:dyDescent="0.3">
      <c r="A84" s="5" t="s">
        <v>211</v>
      </c>
      <c r="B84" s="6">
        <v>45504</v>
      </c>
      <c r="C84" s="5" t="s">
        <v>122</v>
      </c>
      <c r="D84" s="5" t="s">
        <v>123</v>
      </c>
      <c r="E84" s="5" t="s">
        <v>63</v>
      </c>
      <c r="F84" s="5" t="s">
        <v>64</v>
      </c>
      <c r="G84" s="5" t="s">
        <v>21</v>
      </c>
      <c r="H84" s="5">
        <v>4</v>
      </c>
      <c r="I84" s="5">
        <v>899.99</v>
      </c>
      <c r="J84" s="5" t="s">
        <v>59</v>
      </c>
      <c r="K84" s="5" t="s">
        <v>37</v>
      </c>
      <c r="L84" s="5" t="s">
        <v>38</v>
      </c>
      <c r="M84" s="6">
        <v>44523</v>
      </c>
      <c r="N84" s="5">
        <v>3599.96</v>
      </c>
      <c r="O84" s="5" t="str">
        <f>TEXT(Table2[[#This Row],[Date]],"mmm")</f>
        <v>Jul</v>
      </c>
      <c r="R84">
        <f>SUMIF(Table2[Product_Name],F86,Table2[[#All],[Quantity]])</f>
        <v>108</v>
      </c>
    </row>
    <row r="85" spans="1:18" ht="15.75" customHeight="1" x14ac:dyDescent="0.3">
      <c r="A85" s="5" t="s">
        <v>212</v>
      </c>
      <c r="B85" s="6">
        <v>45509</v>
      </c>
      <c r="C85" s="5" t="s">
        <v>213</v>
      </c>
      <c r="D85" s="5" t="s">
        <v>214</v>
      </c>
      <c r="E85" s="5" t="s">
        <v>46</v>
      </c>
      <c r="F85" s="5" t="s">
        <v>47</v>
      </c>
      <c r="G85" s="5" t="s">
        <v>48</v>
      </c>
      <c r="H85" s="5">
        <v>2</v>
      </c>
      <c r="I85" s="5">
        <v>149.99</v>
      </c>
      <c r="J85" s="5" t="s">
        <v>28</v>
      </c>
      <c r="K85" s="5" t="s">
        <v>52</v>
      </c>
      <c r="L85" s="5" t="s">
        <v>24</v>
      </c>
      <c r="M85" s="6">
        <v>44542</v>
      </c>
      <c r="N85" s="5">
        <v>299.98</v>
      </c>
      <c r="O85" s="5" t="str">
        <f>TEXT(Table2[[#This Row],[Date]],"mmm")</f>
        <v>Aug</v>
      </c>
      <c r="R85">
        <f>SUMIF(Table2[Product_Name],F87,Table2[[#All],[Quantity]])</f>
        <v>99</v>
      </c>
    </row>
    <row r="86" spans="1:18" ht="15.75" customHeight="1" x14ac:dyDescent="0.3">
      <c r="A86" s="5" t="s">
        <v>215</v>
      </c>
      <c r="B86" s="6">
        <v>45510</v>
      </c>
      <c r="C86" s="5" t="s">
        <v>104</v>
      </c>
      <c r="D86" s="5" t="s">
        <v>105</v>
      </c>
      <c r="E86" s="5" t="s">
        <v>46</v>
      </c>
      <c r="F86" s="5" t="s">
        <v>47</v>
      </c>
      <c r="G86" s="5" t="s">
        <v>48</v>
      </c>
      <c r="H86" s="5">
        <v>2</v>
      </c>
      <c r="I86" s="5">
        <v>149.99</v>
      </c>
      <c r="J86" s="5" t="s">
        <v>59</v>
      </c>
      <c r="K86" s="5" t="s">
        <v>65</v>
      </c>
      <c r="L86" s="5" t="s">
        <v>38</v>
      </c>
      <c r="M86" s="6">
        <v>44667</v>
      </c>
      <c r="N86" s="5">
        <v>299.98</v>
      </c>
      <c r="O86" s="5" t="str">
        <f>TEXT(Table2[[#This Row],[Date]],"mmm")</f>
        <v>Aug</v>
      </c>
      <c r="R86">
        <f>SUMIF(Table2[Product_Name],F88,Table2[[#All],[Quantity]])</f>
        <v>67</v>
      </c>
    </row>
    <row r="87" spans="1:18" ht="15.75" customHeight="1" x14ac:dyDescent="0.3">
      <c r="A87" s="5" t="s">
        <v>216</v>
      </c>
      <c r="B87" s="6">
        <v>45513</v>
      </c>
      <c r="C87" s="5" t="s">
        <v>91</v>
      </c>
      <c r="D87" s="5" t="s">
        <v>92</v>
      </c>
      <c r="E87" s="5" t="s">
        <v>119</v>
      </c>
      <c r="F87" s="5" t="s">
        <v>120</v>
      </c>
      <c r="G87" s="5" t="s">
        <v>21</v>
      </c>
      <c r="H87" s="5">
        <v>1</v>
      </c>
      <c r="I87" s="5">
        <v>89.99</v>
      </c>
      <c r="J87" s="5" t="s">
        <v>28</v>
      </c>
      <c r="K87" s="5" t="s">
        <v>42</v>
      </c>
      <c r="L87" s="5" t="s">
        <v>38</v>
      </c>
      <c r="M87" s="6">
        <v>45393</v>
      </c>
      <c r="N87" s="5">
        <v>89.99</v>
      </c>
      <c r="O87" s="5" t="str">
        <f>TEXT(Table2[[#This Row],[Date]],"mmm")</f>
        <v>Aug</v>
      </c>
      <c r="R87">
        <f>SUMIF(Table2[Product_Name],F89,Table2[[#All],[Quantity]])</f>
        <v>48</v>
      </c>
    </row>
    <row r="88" spans="1:18" ht="15.75" customHeight="1" x14ac:dyDescent="0.3">
      <c r="A88" s="5" t="s">
        <v>217</v>
      </c>
      <c r="B88" s="6">
        <v>45515</v>
      </c>
      <c r="C88" s="5" t="s">
        <v>88</v>
      </c>
      <c r="D88" s="5" t="s">
        <v>89</v>
      </c>
      <c r="E88" s="5" t="s">
        <v>107</v>
      </c>
      <c r="F88" s="5" t="s">
        <v>108</v>
      </c>
      <c r="G88" s="5" t="s">
        <v>48</v>
      </c>
      <c r="H88" s="5">
        <v>5</v>
      </c>
      <c r="I88" s="5">
        <v>299.99</v>
      </c>
      <c r="J88" s="5" t="s">
        <v>28</v>
      </c>
      <c r="K88" s="5" t="s">
        <v>42</v>
      </c>
      <c r="L88" s="5" t="s">
        <v>24</v>
      </c>
      <c r="M88" s="6">
        <v>44965</v>
      </c>
      <c r="N88" s="5">
        <v>1499.95</v>
      </c>
      <c r="O88" s="5" t="str">
        <f>TEXT(Table2[[#This Row],[Date]],"mmm")</f>
        <v>Aug</v>
      </c>
      <c r="R88">
        <f>SUMIF(Table2[Product_Name],F90,Table2[[#All],[Quantity]])</f>
        <v>86</v>
      </c>
    </row>
    <row r="89" spans="1:18" ht="15.75" customHeight="1" x14ac:dyDescent="0.3">
      <c r="A89" s="5" t="s">
        <v>218</v>
      </c>
      <c r="B89" s="6">
        <v>45517</v>
      </c>
      <c r="C89" s="5" t="s">
        <v>184</v>
      </c>
      <c r="D89" s="5" t="s">
        <v>185</v>
      </c>
      <c r="E89" s="5" t="s">
        <v>54</v>
      </c>
      <c r="F89" s="5" t="s">
        <v>55</v>
      </c>
      <c r="G89" s="5" t="s">
        <v>21</v>
      </c>
      <c r="H89" s="5">
        <v>4</v>
      </c>
      <c r="I89" s="5">
        <v>149.99</v>
      </c>
      <c r="J89" s="5" t="s">
        <v>59</v>
      </c>
      <c r="K89" s="5" t="s">
        <v>37</v>
      </c>
      <c r="L89" s="5" t="s">
        <v>29</v>
      </c>
      <c r="M89" s="6">
        <v>44820</v>
      </c>
      <c r="N89" s="5">
        <v>599.96</v>
      </c>
      <c r="O89" s="5" t="str">
        <f>TEXT(Table2[[#This Row],[Date]],"mmm")</f>
        <v>Aug</v>
      </c>
      <c r="R89">
        <f>SUMIF(Table2[Product_Name],F91,Table2[[#All],[Quantity]])</f>
        <v>86</v>
      </c>
    </row>
    <row r="90" spans="1:18" ht="15.75" customHeight="1" x14ac:dyDescent="0.3">
      <c r="A90" s="5" t="s">
        <v>219</v>
      </c>
      <c r="B90" s="6">
        <v>45517</v>
      </c>
      <c r="C90" s="5" t="s">
        <v>187</v>
      </c>
      <c r="D90" s="5" t="s">
        <v>188</v>
      </c>
      <c r="E90" s="5" t="s">
        <v>19</v>
      </c>
      <c r="F90" s="5" t="s">
        <v>20</v>
      </c>
      <c r="G90" s="5" t="s">
        <v>21</v>
      </c>
      <c r="H90" s="5">
        <v>5</v>
      </c>
      <c r="I90" s="5">
        <v>249.99</v>
      </c>
      <c r="J90" s="5" t="s">
        <v>36</v>
      </c>
      <c r="K90" s="5" t="s">
        <v>65</v>
      </c>
      <c r="L90" s="5" t="s">
        <v>29</v>
      </c>
      <c r="M90" s="6">
        <v>44782</v>
      </c>
      <c r="N90" s="5">
        <v>1249.95</v>
      </c>
      <c r="O90" s="5" t="str">
        <f>TEXT(Table2[[#This Row],[Date]],"mmm")</f>
        <v>Aug</v>
      </c>
      <c r="R90">
        <f>SUMIF(Table2[Product_Name],F92,Table2[[#All],[Quantity]])</f>
        <v>43</v>
      </c>
    </row>
    <row r="91" spans="1:18" ht="15.75" customHeight="1" x14ac:dyDescent="0.3">
      <c r="A91" s="5" t="s">
        <v>220</v>
      </c>
      <c r="B91" s="6">
        <v>45517</v>
      </c>
      <c r="C91" s="5" t="s">
        <v>67</v>
      </c>
      <c r="D91" s="5" t="s">
        <v>68</v>
      </c>
      <c r="E91" s="5" t="s">
        <v>19</v>
      </c>
      <c r="F91" s="5" t="s">
        <v>20</v>
      </c>
      <c r="G91" s="5" t="s">
        <v>21</v>
      </c>
      <c r="H91" s="5">
        <v>3</v>
      </c>
      <c r="I91" s="5">
        <v>249.99</v>
      </c>
      <c r="J91" s="5" t="s">
        <v>36</v>
      </c>
      <c r="K91" s="5" t="s">
        <v>42</v>
      </c>
      <c r="L91" s="5" t="s">
        <v>29</v>
      </c>
      <c r="M91" s="6">
        <v>44465</v>
      </c>
      <c r="N91" s="5">
        <v>749.97</v>
      </c>
      <c r="O91" s="5" t="str">
        <f>TEXT(Table2[[#This Row],[Date]],"mmm")</f>
        <v>Aug</v>
      </c>
      <c r="R91">
        <f>SUMIF(Table2[Product_Name],F93,Table2[[#All],[Quantity]])</f>
        <v>43</v>
      </c>
    </row>
    <row r="92" spans="1:18" ht="15.75" customHeight="1" x14ac:dyDescent="0.3">
      <c r="A92" s="5" t="s">
        <v>221</v>
      </c>
      <c r="B92" s="6">
        <v>45517</v>
      </c>
      <c r="C92" s="5" t="s">
        <v>40</v>
      </c>
      <c r="D92" s="5" t="s">
        <v>41</v>
      </c>
      <c r="E92" s="5" t="s">
        <v>128</v>
      </c>
      <c r="F92" s="5" t="s">
        <v>129</v>
      </c>
      <c r="G92" s="5" t="s">
        <v>48</v>
      </c>
      <c r="H92" s="5">
        <v>4</v>
      </c>
      <c r="I92" s="5">
        <v>199.99</v>
      </c>
      <c r="J92" s="5" t="s">
        <v>22</v>
      </c>
      <c r="K92" s="5" t="s">
        <v>42</v>
      </c>
      <c r="L92" s="5" t="s">
        <v>38</v>
      </c>
      <c r="M92" s="6">
        <v>44458</v>
      </c>
      <c r="N92" s="5">
        <v>799.96</v>
      </c>
      <c r="O92" s="5" t="str">
        <f>TEXT(Table2[[#This Row],[Date]],"mmm")</f>
        <v>Aug</v>
      </c>
      <c r="R92">
        <f>SUMIF(Table2[Product_Name],F94,Table2[[#All],[Quantity]])</f>
        <v>99</v>
      </c>
    </row>
    <row r="93" spans="1:18" ht="15.75" customHeight="1" x14ac:dyDescent="0.3">
      <c r="A93" s="5" t="s">
        <v>222</v>
      </c>
      <c r="B93" s="6">
        <v>45519</v>
      </c>
      <c r="C93" s="5" t="s">
        <v>160</v>
      </c>
      <c r="D93" s="5" t="s">
        <v>161</v>
      </c>
      <c r="E93" s="5" t="s">
        <v>128</v>
      </c>
      <c r="F93" s="5" t="s">
        <v>129</v>
      </c>
      <c r="G93" s="5" t="s">
        <v>48</v>
      </c>
      <c r="H93" s="5">
        <v>5</v>
      </c>
      <c r="I93" s="5">
        <v>199.99</v>
      </c>
      <c r="J93" s="5" t="s">
        <v>22</v>
      </c>
      <c r="K93" s="5" t="s">
        <v>42</v>
      </c>
      <c r="L93" s="5" t="s">
        <v>29</v>
      </c>
      <c r="M93" s="6">
        <v>44991</v>
      </c>
      <c r="N93" s="5">
        <v>999.95</v>
      </c>
      <c r="O93" s="5" t="str">
        <f>TEXT(Table2[[#This Row],[Date]],"mmm")</f>
        <v>Aug</v>
      </c>
      <c r="R93">
        <f>SUMIF(Table2[Product_Name],F95,Table2[[#All],[Quantity]])</f>
        <v>67</v>
      </c>
    </row>
    <row r="94" spans="1:18" ht="15.75" customHeight="1" x14ac:dyDescent="0.3">
      <c r="A94" s="5" t="s">
        <v>223</v>
      </c>
      <c r="B94" s="6">
        <v>45522</v>
      </c>
      <c r="C94" s="5" t="s">
        <v>88</v>
      </c>
      <c r="D94" s="5" t="s">
        <v>89</v>
      </c>
      <c r="E94" s="5" t="s">
        <v>119</v>
      </c>
      <c r="F94" s="5" t="s">
        <v>120</v>
      </c>
      <c r="G94" s="5" t="s">
        <v>21</v>
      </c>
      <c r="H94" s="5">
        <v>2</v>
      </c>
      <c r="I94" s="5">
        <v>89.99</v>
      </c>
      <c r="J94" s="5" t="s">
        <v>22</v>
      </c>
      <c r="K94" s="5" t="s">
        <v>65</v>
      </c>
      <c r="L94" s="5" t="s">
        <v>29</v>
      </c>
      <c r="M94" s="6">
        <v>44972</v>
      </c>
      <c r="N94" s="5">
        <v>179.98</v>
      </c>
      <c r="O94" s="5" t="str">
        <f>TEXT(Table2[[#This Row],[Date]],"mmm")</f>
        <v>Aug</v>
      </c>
      <c r="R94">
        <f>SUMIF(Table2[Product_Name],F96,Table2[[#All],[Quantity]])</f>
        <v>48</v>
      </c>
    </row>
    <row r="95" spans="1:18" ht="15.75" customHeight="1" x14ac:dyDescent="0.3">
      <c r="A95" s="5" t="s">
        <v>224</v>
      </c>
      <c r="B95" s="6">
        <v>45523</v>
      </c>
      <c r="C95" s="5" t="s">
        <v>198</v>
      </c>
      <c r="D95" s="5" t="s">
        <v>199</v>
      </c>
      <c r="E95" s="5" t="s">
        <v>63</v>
      </c>
      <c r="F95" s="5" t="s">
        <v>64</v>
      </c>
      <c r="G95" s="5" t="s">
        <v>21</v>
      </c>
      <c r="H95" s="5">
        <v>5</v>
      </c>
      <c r="I95" s="5">
        <v>899.99</v>
      </c>
      <c r="J95" s="5" t="s">
        <v>59</v>
      </c>
      <c r="K95" s="5" t="s">
        <v>65</v>
      </c>
      <c r="L95" s="5" t="s">
        <v>24</v>
      </c>
      <c r="M95" s="6">
        <v>44526</v>
      </c>
      <c r="N95" s="5">
        <v>4499.95</v>
      </c>
      <c r="O95" s="5" t="str">
        <f>TEXT(Table2[[#This Row],[Date]],"mmm")</f>
        <v>Aug</v>
      </c>
      <c r="R95">
        <f>SUMIF(Table2[Product_Name],F97,Table2[[#All],[Quantity]])</f>
        <v>108</v>
      </c>
    </row>
    <row r="96" spans="1:18" ht="15.75" customHeight="1" x14ac:dyDescent="0.3">
      <c r="A96" s="5" t="s">
        <v>225</v>
      </c>
      <c r="B96" s="6">
        <v>45523</v>
      </c>
      <c r="C96" s="5" t="s">
        <v>110</v>
      </c>
      <c r="D96" s="5" t="s">
        <v>111</v>
      </c>
      <c r="E96" s="5" t="s">
        <v>54</v>
      </c>
      <c r="F96" s="5" t="s">
        <v>55</v>
      </c>
      <c r="G96" s="5" t="s">
        <v>21</v>
      </c>
      <c r="H96" s="5">
        <v>3</v>
      </c>
      <c r="I96" s="5">
        <v>149.99</v>
      </c>
      <c r="J96" s="5" t="s">
        <v>36</v>
      </c>
      <c r="K96" s="5" t="s">
        <v>65</v>
      </c>
      <c r="L96" s="5" t="s">
        <v>24</v>
      </c>
      <c r="M96" s="6">
        <v>44574</v>
      </c>
      <c r="N96" s="5">
        <v>449.97</v>
      </c>
      <c r="O96" s="5" t="str">
        <f>TEXT(Table2[[#This Row],[Date]],"mmm")</f>
        <v>Aug</v>
      </c>
      <c r="R96">
        <f>SUMIF(Table2[Product_Name],F98,Table2[[#All],[Quantity]])</f>
        <v>50</v>
      </c>
    </row>
    <row r="97" spans="1:18" ht="15.75" customHeight="1" x14ac:dyDescent="0.3">
      <c r="A97" s="5" t="s">
        <v>226</v>
      </c>
      <c r="B97" s="6">
        <v>45526</v>
      </c>
      <c r="C97" s="5" t="s">
        <v>104</v>
      </c>
      <c r="D97" s="5" t="s">
        <v>105</v>
      </c>
      <c r="E97" s="5" t="s">
        <v>46</v>
      </c>
      <c r="F97" s="5" t="s">
        <v>47</v>
      </c>
      <c r="G97" s="5" t="s">
        <v>48</v>
      </c>
      <c r="H97" s="5">
        <v>5</v>
      </c>
      <c r="I97" s="5">
        <v>149.99</v>
      </c>
      <c r="J97" s="5" t="s">
        <v>28</v>
      </c>
      <c r="K97" s="5" t="s">
        <v>23</v>
      </c>
      <c r="L97" s="5" t="s">
        <v>24</v>
      </c>
      <c r="M97" s="6">
        <v>45310</v>
      </c>
      <c r="N97" s="5">
        <v>749.95</v>
      </c>
      <c r="O97" s="5" t="str">
        <f>TEXT(Table2[[#This Row],[Date]],"mmm")</f>
        <v>Aug</v>
      </c>
      <c r="R97">
        <f>SUMIF(Table2[Product_Name],F99,Table2[[#All],[Quantity]])</f>
        <v>86</v>
      </c>
    </row>
    <row r="98" spans="1:18" ht="15.75" customHeight="1" x14ac:dyDescent="0.3">
      <c r="A98" s="5" t="s">
        <v>227</v>
      </c>
      <c r="B98" s="6">
        <v>45528</v>
      </c>
      <c r="C98" s="5" t="s">
        <v>228</v>
      </c>
      <c r="D98" s="5" t="s">
        <v>229</v>
      </c>
      <c r="E98" s="5" t="s">
        <v>116</v>
      </c>
      <c r="F98" s="5" t="s">
        <v>117</v>
      </c>
      <c r="G98" s="5" t="s">
        <v>35</v>
      </c>
      <c r="H98" s="5">
        <v>3</v>
      </c>
      <c r="I98" s="5">
        <v>79.989999999999995</v>
      </c>
      <c r="J98" s="5" t="s">
        <v>22</v>
      </c>
      <c r="K98" s="5" t="s">
        <v>23</v>
      </c>
      <c r="L98" s="5" t="s">
        <v>29</v>
      </c>
      <c r="M98" s="6">
        <v>44779</v>
      </c>
      <c r="N98" s="5">
        <v>239.97</v>
      </c>
      <c r="O98" s="5" t="str">
        <f>TEXT(Table2[[#This Row],[Date]],"mmm")</f>
        <v>Aug</v>
      </c>
      <c r="R98">
        <f>SUMIF(Table2[Product_Name],F100,Table2[[#All],[Quantity]])</f>
        <v>84</v>
      </c>
    </row>
    <row r="99" spans="1:18" ht="15.75" customHeight="1" x14ac:dyDescent="0.3">
      <c r="A99" s="5" t="s">
        <v>230</v>
      </c>
      <c r="B99" s="6">
        <v>45528</v>
      </c>
      <c r="C99" s="5" t="s">
        <v>146</v>
      </c>
      <c r="D99" s="5" t="s">
        <v>147</v>
      </c>
      <c r="E99" s="5" t="s">
        <v>19</v>
      </c>
      <c r="F99" s="5" t="s">
        <v>20</v>
      </c>
      <c r="G99" s="5" t="s">
        <v>21</v>
      </c>
      <c r="H99" s="5">
        <v>2</v>
      </c>
      <c r="I99" s="5">
        <v>249.99</v>
      </c>
      <c r="J99" s="5" t="s">
        <v>22</v>
      </c>
      <c r="K99" s="5" t="s">
        <v>37</v>
      </c>
      <c r="L99" s="5" t="s">
        <v>38</v>
      </c>
      <c r="M99" s="6">
        <v>44572</v>
      </c>
      <c r="N99" s="5">
        <v>499.98</v>
      </c>
      <c r="O99" s="5" t="str">
        <f>TEXT(Table2[[#This Row],[Date]],"mmm")</f>
        <v>Aug</v>
      </c>
      <c r="R99">
        <f>SUMIF(Table2[Product_Name],F101,Table2[[#All],[Quantity]])</f>
        <v>48</v>
      </c>
    </row>
    <row r="100" spans="1:18" ht="15.75" customHeight="1" x14ac:dyDescent="0.3">
      <c r="A100" s="5" t="s">
        <v>231</v>
      </c>
      <c r="B100" s="6">
        <v>45532</v>
      </c>
      <c r="C100" s="5" t="s">
        <v>198</v>
      </c>
      <c r="D100" s="5" t="s">
        <v>199</v>
      </c>
      <c r="E100" s="5" t="s">
        <v>82</v>
      </c>
      <c r="F100" s="5" t="s">
        <v>83</v>
      </c>
      <c r="G100" s="5" t="s">
        <v>21</v>
      </c>
      <c r="H100" s="5">
        <v>1</v>
      </c>
      <c r="I100" s="5">
        <v>699.99</v>
      </c>
      <c r="J100" s="5" t="s">
        <v>22</v>
      </c>
      <c r="K100" s="5" t="s">
        <v>23</v>
      </c>
      <c r="L100" s="5" t="s">
        <v>29</v>
      </c>
      <c r="M100" s="6">
        <v>44497</v>
      </c>
      <c r="N100" s="5">
        <v>699.99</v>
      </c>
      <c r="O100" s="5" t="str">
        <f>TEXT(Table2[[#This Row],[Date]],"mmm")</f>
        <v>Aug</v>
      </c>
      <c r="R100">
        <f>SUMIF(Table2[Product_Name],F102,Table2[[#All],[Quantity]])</f>
        <v>84</v>
      </c>
    </row>
    <row r="101" spans="1:18" ht="15.75" customHeight="1" x14ac:dyDescent="0.3">
      <c r="A101" s="5" t="s">
        <v>232</v>
      </c>
      <c r="B101" s="6">
        <v>45532</v>
      </c>
      <c r="C101" s="5" t="s">
        <v>233</v>
      </c>
      <c r="D101" s="5" t="s">
        <v>234</v>
      </c>
      <c r="E101" s="5" t="s">
        <v>54</v>
      </c>
      <c r="F101" s="5" t="s">
        <v>55</v>
      </c>
      <c r="G101" s="5" t="s">
        <v>21</v>
      </c>
      <c r="H101" s="5">
        <v>3</v>
      </c>
      <c r="I101" s="5">
        <v>149.99</v>
      </c>
      <c r="J101" s="5" t="s">
        <v>22</v>
      </c>
      <c r="K101" s="5" t="s">
        <v>52</v>
      </c>
      <c r="L101" s="5" t="s">
        <v>29</v>
      </c>
      <c r="M101" s="6">
        <v>45212</v>
      </c>
      <c r="N101" s="5">
        <v>449.97</v>
      </c>
      <c r="O101" s="5" t="str">
        <f>TEXT(Table2[[#This Row],[Date]],"mmm")</f>
        <v>Aug</v>
      </c>
      <c r="R101">
        <f>SUMIF(Table2[Product_Name],F103,Table2[[#All],[Quantity]])</f>
        <v>86</v>
      </c>
    </row>
    <row r="102" spans="1:18" ht="15.75" customHeight="1" x14ac:dyDescent="0.3">
      <c r="A102" s="5" t="s">
        <v>235</v>
      </c>
      <c r="B102" s="6">
        <v>45534</v>
      </c>
      <c r="C102" s="5" t="s">
        <v>236</v>
      </c>
      <c r="D102" s="5" t="s">
        <v>237</v>
      </c>
      <c r="E102" s="5" t="s">
        <v>82</v>
      </c>
      <c r="F102" s="5" t="s">
        <v>83</v>
      </c>
      <c r="G102" s="5" t="s">
        <v>21</v>
      </c>
      <c r="H102" s="5">
        <v>2</v>
      </c>
      <c r="I102" s="5">
        <v>699.99</v>
      </c>
      <c r="J102" s="5" t="s">
        <v>28</v>
      </c>
      <c r="K102" s="5" t="s">
        <v>42</v>
      </c>
      <c r="L102" s="5" t="s">
        <v>29</v>
      </c>
      <c r="M102" s="6">
        <v>44421</v>
      </c>
      <c r="N102" s="5">
        <v>1399.98</v>
      </c>
      <c r="O102" s="5" t="str">
        <f>TEXT(Table2[[#This Row],[Date]],"mmm")</f>
        <v>Aug</v>
      </c>
      <c r="R102">
        <f>SUMIF(Table2[Product_Name],F104,Table2[[#All],[Quantity]])</f>
        <v>86</v>
      </c>
    </row>
    <row r="103" spans="1:18" ht="15.75" customHeight="1" x14ac:dyDescent="0.3">
      <c r="A103" s="5" t="s">
        <v>238</v>
      </c>
      <c r="B103" s="6">
        <v>45537</v>
      </c>
      <c r="C103" s="5" t="s">
        <v>233</v>
      </c>
      <c r="D103" s="5" t="s">
        <v>234</v>
      </c>
      <c r="E103" s="5" t="s">
        <v>19</v>
      </c>
      <c r="F103" s="5" t="s">
        <v>20</v>
      </c>
      <c r="G103" s="5" t="s">
        <v>21</v>
      </c>
      <c r="H103" s="5">
        <v>1</v>
      </c>
      <c r="I103" s="5">
        <v>249.99</v>
      </c>
      <c r="J103" s="5" t="s">
        <v>28</v>
      </c>
      <c r="K103" s="5" t="s">
        <v>52</v>
      </c>
      <c r="L103" s="5" t="s">
        <v>29</v>
      </c>
      <c r="M103" s="6">
        <v>44685</v>
      </c>
      <c r="N103" s="5">
        <v>249.99</v>
      </c>
      <c r="O103" s="5" t="str">
        <f>TEXT(Table2[[#This Row],[Date]],"mmm")</f>
        <v>Sep</v>
      </c>
      <c r="R103">
        <f>SUMIF(Table2[Product_Name],F105,Table2[[#All],[Quantity]])</f>
        <v>84</v>
      </c>
    </row>
    <row r="104" spans="1:18" ht="15.75" customHeight="1" x14ac:dyDescent="0.3">
      <c r="A104" s="5" t="s">
        <v>239</v>
      </c>
      <c r="B104" s="6">
        <v>45537</v>
      </c>
      <c r="C104" s="5" t="s">
        <v>17</v>
      </c>
      <c r="D104" s="5" t="s">
        <v>18</v>
      </c>
      <c r="E104" s="5" t="s">
        <v>19</v>
      </c>
      <c r="F104" s="5" t="s">
        <v>20</v>
      </c>
      <c r="G104" s="5" t="s">
        <v>21</v>
      </c>
      <c r="H104" s="5">
        <v>1</v>
      </c>
      <c r="I104" s="5">
        <v>249.99</v>
      </c>
      <c r="J104" s="5" t="s">
        <v>59</v>
      </c>
      <c r="K104" s="5" t="s">
        <v>42</v>
      </c>
      <c r="L104" s="5" t="s">
        <v>29</v>
      </c>
      <c r="M104" s="6">
        <v>45332</v>
      </c>
      <c r="N104" s="5">
        <v>249.99</v>
      </c>
      <c r="O104" s="5" t="str">
        <f>TEXT(Table2[[#This Row],[Date]],"mmm")</f>
        <v>Sep</v>
      </c>
      <c r="R104">
        <f>SUMIF(Table2[Product_Name],F106,Table2[[#All],[Quantity]])</f>
        <v>98</v>
      </c>
    </row>
    <row r="105" spans="1:18" ht="15.75" customHeight="1" x14ac:dyDescent="0.3">
      <c r="A105" s="5" t="s">
        <v>240</v>
      </c>
      <c r="B105" s="6">
        <v>45538</v>
      </c>
      <c r="C105" s="5" t="s">
        <v>228</v>
      </c>
      <c r="D105" s="5" t="s">
        <v>229</v>
      </c>
      <c r="E105" s="5" t="s">
        <v>82</v>
      </c>
      <c r="F105" s="5" t="s">
        <v>83</v>
      </c>
      <c r="G105" s="5" t="s">
        <v>21</v>
      </c>
      <c r="H105" s="5">
        <v>2</v>
      </c>
      <c r="I105" s="5">
        <v>699.99</v>
      </c>
      <c r="J105" s="5" t="s">
        <v>59</v>
      </c>
      <c r="K105" s="5" t="s">
        <v>23</v>
      </c>
      <c r="L105" s="5" t="s">
        <v>29</v>
      </c>
      <c r="M105" s="6">
        <v>44870</v>
      </c>
      <c r="N105" s="5">
        <v>1399.98</v>
      </c>
      <c r="O105" s="5" t="str">
        <f>TEXT(Table2[[#This Row],[Date]],"mmm")</f>
        <v>Sep</v>
      </c>
      <c r="R105">
        <f>SUMIF(Table2[Product_Name],F107,Table2[[#All],[Quantity]])</f>
        <v>98</v>
      </c>
    </row>
    <row r="106" spans="1:18" ht="15.75" customHeight="1" x14ac:dyDescent="0.3">
      <c r="A106" s="5" t="s">
        <v>241</v>
      </c>
      <c r="B106" s="6">
        <v>45541</v>
      </c>
      <c r="C106" s="5" t="s">
        <v>140</v>
      </c>
      <c r="D106" s="5" t="s">
        <v>141</v>
      </c>
      <c r="E106" s="5" t="s">
        <v>33</v>
      </c>
      <c r="F106" s="5" t="s">
        <v>34</v>
      </c>
      <c r="G106" s="5" t="s">
        <v>35</v>
      </c>
      <c r="H106" s="5">
        <v>3</v>
      </c>
      <c r="I106" s="5">
        <v>59.99</v>
      </c>
      <c r="J106" s="5" t="s">
        <v>28</v>
      </c>
      <c r="K106" s="5" t="s">
        <v>23</v>
      </c>
      <c r="L106" s="5" t="s">
        <v>29</v>
      </c>
      <c r="M106" s="6">
        <v>44717</v>
      </c>
      <c r="N106" s="5">
        <v>179.97</v>
      </c>
      <c r="O106" s="5" t="str">
        <f>TEXT(Table2[[#This Row],[Date]],"mmm")</f>
        <v>Sep</v>
      </c>
      <c r="R106">
        <f>SUMIF(Table2[Product_Name],F108,Table2[[#All],[Quantity]])</f>
        <v>50</v>
      </c>
    </row>
    <row r="107" spans="1:18" ht="15.75" customHeight="1" x14ac:dyDescent="0.3">
      <c r="A107" s="5" t="s">
        <v>242</v>
      </c>
      <c r="B107" s="6">
        <v>45544</v>
      </c>
      <c r="C107" s="5" t="s">
        <v>134</v>
      </c>
      <c r="D107" s="5" t="s">
        <v>135</v>
      </c>
      <c r="E107" s="5" t="s">
        <v>33</v>
      </c>
      <c r="F107" s="5" t="s">
        <v>34</v>
      </c>
      <c r="G107" s="5" t="s">
        <v>35</v>
      </c>
      <c r="H107" s="5">
        <v>3</v>
      </c>
      <c r="I107" s="5">
        <v>59.99</v>
      </c>
      <c r="J107" s="5" t="s">
        <v>36</v>
      </c>
      <c r="K107" s="5" t="s">
        <v>65</v>
      </c>
      <c r="L107" s="5" t="s">
        <v>38</v>
      </c>
      <c r="M107" s="6">
        <v>44748</v>
      </c>
      <c r="N107" s="5">
        <v>179.97</v>
      </c>
      <c r="O107" s="5" t="str">
        <f>TEXT(Table2[[#This Row],[Date]],"mmm")</f>
        <v>Sep</v>
      </c>
      <c r="R107">
        <f>SUMIF(Table2[Product_Name],F109,Table2[[#All],[Quantity]])</f>
        <v>50</v>
      </c>
    </row>
    <row r="108" spans="1:18" ht="15.75" customHeight="1" x14ac:dyDescent="0.3">
      <c r="A108" s="5" t="s">
        <v>243</v>
      </c>
      <c r="B108" s="6">
        <v>45544</v>
      </c>
      <c r="C108" s="5" t="s">
        <v>143</v>
      </c>
      <c r="D108" s="5" t="s">
        <v>144</v>
      </c>
      <c r="E108" s="5" t="s">
        <v>116</v>
      </c>
      <c r="F108" s="5" t="s">
        <v>117</v>
      </c>
      <c r="G108" s="5" t="s">
        <v>35</v>
      </c>
      <c r="H108" s="5">
        <v>4</v>
      </c>
      <c r="I108" s="5">
        <v>79.989999999999995</v>
      </c>
      <c r="J108" s="5" t="s">
        <v>22</v>
      </c>
      <c r="K108" s="5" t="s">
        <v>42</v>
      </c>
      <c r="L108" s="5" t="s">
        <v>24</v>
      </c>
      <c r="M108" s="6">
        <v>44530</v>
      </c>
      <c r="N108" s="5">
        <v>319.95999999999998</v>
      </c>
      <c r="O108" s="5" t="str">
        <f>TEXT(Table2[[#This Row],[Date]],"mmm")</f>
        <v>Sep</v>
      </c>
      <c r="R108">
        <f>SUMIF(Table2[Product_Name],F110,Table2[[#All],[Quantity]])</f>
        <v>67</v>
      </c>
    </row>
    <row r="109" spans="1:18" ht="15.75" customHeight="1" x14ac:dyDescent="0.3">
      <c r="A109" s="5" t="s">
        <v>244</v>
      </c>
      <c r="B109" s="6">
        <v>45545</v>
      </c>
      <c r="C109" s="5" t="s">
        <v>57</v>
      </c>
      <c r="D109" s="5" t="s">
        <v>58</v>
      </c>
      <c r="E109" s="5" t="s">
        <v>116</v>
      </c>
      <c r="F109" s="5" t="s">
        <v>117</v>
      </c>
      <c r="G109" s="5" t="s">
        <v>35</v>
      </c>
      <c r="H109" s="5">
        <v>1</v>
      </c>
      <c r="I109" s="5">
        <v>79.989999999999995</v>
      </c>
      <c r="J109" s="5" t="s">
        <v>22</v>
      </c>
      <c r="K109" s="5" t="s">
        <v>52</v>
      </c>
      <c r="L109" s="5" t="s">
        <v>24</v>
      </c>
      <c r="M109" s="6">
        <v>44693</v>
      </c>
      <c r="N109" s="5">
        <v>79.989999999999995</v>
      </c>
      <c r="O109" s="5" t="str">
        <f>TEXT(Table2[[#This Row],[Date]],"mmm")</f>
        <v>Sep</v>
      </c>
      <c r="R109">
        <f>SUMIF(Table2[Product_Name],F111,Table2[[#All],[Quantity]])</f>
        <v>99</v>
      </c>
    </row>
    <row r="110" spans="1:18" ht="15.75" customHeight="1" x14ac:dyDescent="0.3">
      <c r="A110" s="5" t="s">
        <v>245</v>
      </c>
      <c r="B110" s="6">
        <v>45547</v>
      </c>
      <c r="C110" s="5" t="s">
        <v>50</v>
      </c>
      <c r="D110" s="5" t="s">
        <v>51</v>
      </c>
      <c r="E110" s="5" t="s">
        <v>107</v>
      </c>
      <c r="F110" s="5" t="s">
        <v>108</v>
      </c>
      <c r="G110" s="5" t="s">
        <v>48</v>
      </c>
      <c r="H110" s="5">
        <v>3</v>
      </c>
      <c r="I110" s="5">
        <v>299.99</v>
      </c>
      <c r="J110" s="5" t="s">
        <v>28</v>
      </c>
      <c r="K110" s="5" t="s">
        <v>23</v>
      </c>
      <c r="L110" s="5" t="s">
        <v>29</v>
      </c>
      <c r="M110" s="6">
        <v>44494</v>
      </c>
      <c r="N110" s="5">
        <v>899.97</v>
      </c>
      <c r="O110" s="5" t="str">
        <f>TEXT(Table2[[#This Row],[Date]],"mmm")</f>
        <v>Sep</v>
      </c>
      <c r="R110">
        <f>SUMIF(Table2[Product_Name],F112,Table2[[#All],[Quantity]])</f>
        <v>48</v>
      </c>
    </row>
    <row r="111" spans="1:18" ht="15.75" customHeight="1" x14ac:dyDescent="0.3">
      <c r="A111" s="5" t="s">
        <v>246</v>
      </c>
      <c r="B111" s="6">
        <v>45548</v>
      </c>
      <c r="C111" s="5" t="s">
        <v>40</v>
      </c>
      <c r="D111" s="5" t="s">
        <v>41</v>
      </c>
      <c r="E111" s="5" t="s">
        <v>119</v>
      </c>
      <c r="F111" s="5" t="s">
        <v>120</v>
      </c>
      <c r="G111" s="5" t="s">
        <v>21</v>
      </c>
      <c r="H111" s="5">
        <v>2</v>
      </c>
      <c r="I111" s="5">
        <v>89.99</v>
      </c>
      <c r="J111" s="5" t="s">
        <v>28</v>
      </c>
      <c r="K111" s="5" t="s">
        <v>37</v>
      </c>
      <c r="L111" s="5" t="s">
        <v>29</v>
      </c>
      <c r="M111" s="6">
        <v>44641</v>
      </c>
      <c r="N111" s="5">
        <v>179.98</v>
      </c>
      <c r="O111" s="5" t="str">
        <f>TEXT(Table2[[#This Row],[Date]],"mmm")</f>
        <v>Sep</v>
      </c>
      <c r="R111">
        <f>SUMIF(Table2[Product_Name],F113,Table2[[#All],[Quantity]])</f>
        <v>86</v>
      </c>
    </row>
    <row r="112" spans="1:18" ht="15.75" customHeight="1" x14ac:dyDescent="0.3">
      <c r="A112" s="5" t="s">
        <v>247</v>
      </c>
      <c r="B112" s="6">
        <v>45550</v>
      </c>
      <c r="C112" s="5" t="s">
        <v>248</v>
      </c>
      <c r="D112" s="5" t="s">
        <v>249</v>
      </c>
      <c r="E112" s="5" t="s">
        <v>54</v>
      </c>
      <c r="F112" s="5" t="s">
        <v>55</v>
      </c>
      <c r="G112" s="5" t="s">
        <v>21</v>
      </c>
      <c r="H112" s="5">
        <v>4</v>
      </c>
      <c r="I112" s="5">
        <v>149.99</v>
      </c>
      <c r="J112" s="5" t="s">
        <v>22</v>
      </c>
      <c r="K112" s="5" t="s">
        <v>42</v>
      </c>
      <c r="L112" s="5" t="s">
        <v>24</v>
      </c>
      <c r="M112" s="6">
        <v>44909</v>
      </c>
      <c r="N112" s="5">
        <v>599.96</v>
      </c>
      <c r="O112" s="5" t="str">
        <f>TEXT(Table2[[#This Row],[Date]],"mmm")</f>
        <v>Sep</v>
      </c>
      <c r="R112">
        <f>SUMIF(Table2[Product_Name],F114,Table2[[#All],[Quantity]])</f>
        <v>43</v>
      </c>
    </row>
    <row r="113" spans="1:18" ht="15.75" customHeight="1" x14ac:dyDescent="0.3">
      <c r="A113" s="5" t="s">
        <v>250</v>
      </c>
      <c r="B113" s="6">
        <v>45551</v>
      </c>
      <c r="C113" s="5" t="s">
        <v>67</v>
      </c>
      <c r="D113" s="5" t="s">
        <v>68</v>
      </c>
      <c r="E113" s="5" t="s">
        <v>19</v>
      </c>
      <c r="F113" s="5" t="s">
        <v>20</v>
      </c>
      <c r="G113" s="5" t="s">
        <v>21</v>
      </c>
      <c r="H113" s="5">
        <v>2</v>
      </c>
      <c r="I113" s="5">
        <v>249.99</v>
      </c>
      <c r="J113" s="5" t="s">
        <v>36</v>
      </c>
      <c r="K113" s="5" t="s">
        <v>37</v>
      </c>
      <c r="L113" s="5" t="s">
        <v>24</v>
      </c>
      <c r="M113" s="6">
        <v>44993</v>
      </c>
      <c r="N113" s="5">
        <v>499.98</v>
      </c>
      <c r="O113" s="5" t="str">
        <f>TEXT(Table2[[#This Row],[Date]],"mmm")</f>
        <v>Sep</v>
      </c>
      <c r="R113">
        <f>SUMIF(Table2[Product_Name],F115,Table2[[#All],[Quantity]])</f>
        <v>99</v>
      </c>
    </row>
    <row r="114" spans="1:18" ht="15.75" customHeight="1" x14ac:dyDescent="0.3">
      <c r="A114" s="5" t="s">
        <v>251</v>
      </c>
      <c r="B114" s="6">
        <v>45551</v>
      </c>
      <c r="C114" s="5" t="s">
        <v>156</v>
      </c>
      <c r="D114" s="5" t="s">
        <v>157</v>
      </c>
      <c r="E114" s="5" t="s">
        <v>128</v>
      </c>
      <c r="F114" s="5" t="s">
        <v>129</v>
      </c>
      <c r="G114" s="5" t="s">
        <v>48</v>
      </c>
      <c r="H114" s="5">
        <v>4</v>
      </c>
      <c r="I114" s="5">
        <v>199.99</v>
      </c>
      <c r="J114" s="5" t="s">
        <v>59</v>
      </c>
      <c r="K114" s="5" t="s">
        <v>65</v>
      </c>
      <c r="L114" s="5" t="s">
        <v>24</v>
      </c>
      <c r="M114" s="6">
        <v>44458</v>
      </c>
      <c r="N114" s="5">
        <v>799.96</v>
      </c>
      <c r="O114" s="5" t="str">
        <f>TEXT(Table2[[#This Row],[Date]],"mmm")</f>
        <v>Sep</v>
      </c>
      <c r="R114">
        <f>SUMIF(Table2[Product_Name],F116,Table2[[#All],[Quantity]])</f>
        <v>48</v>
      </c>
    </row>
    <row r="115" spans="1:18" ht="15.75" customHeight="1" x14ac:dyDescent="0.3">
      <c r="A115" s="5" t="s">
        <v>252</v>
      </c>
      <c r="B115" s="6">
        <v>45554</v>
      </c>
      <c r="C115" s="5" t="s">
        <v>149</v>
      </c>
      <c r="D115" s="5" t="s">
        <v>150</v>
      </c>
      <c r="E115" s="5" t="s">
        <v>119</v>
      </c>
      <c r="F115" s="5" t="s">
        <v>120</v>
      </c>
      <c r="G115" s="5" t="s">
        <v>21</v>
      </c>
      <c r="H115" s="5">
        <v>5</v>
      </c>
      <c r="I115" s="5">
        <v>89.99</v>
      </c>
      <c r="J115" s="5" t="s">
        <v>28</v>
      </c>
      <c r="K115" s="5" t="s">
        <v>65</v>
      </c>
      <c r="L115" s="5" t="s">
        <v>29</v>
      </c>
      <c r="M115" s="6">
        <v>44446</v>
      </c>
      <c r="N115" s="5">
        <v>449.95</v>
      </c>
      <c r="O115" s="5" t="str">
        <f>TEXT(Table2[[#This Row],[Date]],"mmm")</f>
        <v>Sep</v>
      </c>
      <c r="R115">
        <f>SUMIF(Table2[Product_Name],F117,Table2[[#All],[Quantity]])</f>
        <v>84</v>
      </c>
    </row>
    <row r="116" spans="1:18" ht="15.75" customHeight="1" x14ac:dyDescent="0.3">
      <c r="A116" s="5" t="s">
        <v>253</v>
      </c>
      <c r="B116" s="6">
        <v>45554</v>
      </c>
      <c r="C116" s="5" t="s">
        <v>254</v>
      </c>
      <c r="D116" s="5" t="s">
        <v>255</v>
      </c>
      <c r="E116" s="5" t="s">
        <v>54</v>
      </c>
      <c r="F116" s="5" t="s">
        <v>55</v>
      </c>
      <c r="G116" s="5" t="s">
        <v>21</v>
      </c>
      <c r="H116" s="5">
        <v>1</v>
      </c>
      <c r="I116" s="5">
        <v>149.99</v>
      </c>
      <c r="J116" s="5" t="s">
        <v>36</v>
      </c>
      <c r="K116" s="5" t="s">
        <v>65</v>
      </c>
      <c r="L116" s="5" t="s">
        <v>38</v>
      </c>
      <c r="M116" s="6">
        <v>44482</v>
      </c>
      <c r="N116" s="5">
        <v>149.99</v>
      </c>
      <c r="O116" s="5" t="str">
        <f>TEXT(Table2[[#This Row],[Date]],"mmm")</f>
        <v>Sep</v>
      </c>
      <c r="R116">
        <f>SUMIF(Table2[Product_Name],F118,Table2[[#All],[Quantity]])</f>
        <v>67</v>
      </c>
    </row>
    <row r="117" spans="1:18" ht="15.75" customHeight="1" x14ac:dyDescent="0.3">
      <c r="A117" s="5" t="s">
        <v>256</v>
      </c>
      <c r="B117" s="6">
        <v>45554</v>
      </c>
      <c r="C117" s="5" t="s">
        <v>74</v>
      </c>
      <c r="D117" s="5" t="s">
        <v>75</v>
      </c>
      <c r="E117" s="5" t="s">
        <v>82</v>
      </c>
      <c r="F117" s="5" t="s">
        <v>83</v>
      </c>
      <c r="G117" s="5" t="s">
        <v>21</v>
      </c>
      <c r="H117" s="5">
        <v>4</v>
      </c>
      <c r="I117" s="5">
        <v>699.99</v>
      </c>
      <c r="J117" s="5" t="s">
        <v>36</v>
      </c>
      <c r="K117" s="5" t="s">
        <v>37</v>
      </c>
      <c r="L117" s="5" t="s">
        <v>24</v>
      </c>
      <c r="M117" s="6">
        <v>44618</v>
      </c>
      <c r="N117" s="5">
        <v>2799.96</v>
      </c>
      <c r="O117" s="5" t="str">
        <f>TEXT(Table2[[#This Row],[Date]],"mmm")</f>
        <v>Sep</v>
      </c>
      <c r="R117">
        <f>SUMIF(Table2[Product_Name],F119,Table2[[#All],[Quantity]])</f>
        <v>108</v>
      </c>
    </row>
    <row r="118" spans="1:18" ht="15.75" customHeight="1" x14ac:dyDescent="0.3">
      <c r="A118" s="5" t="s">
        <v>257</v>
      </c>
      <c r="B118" s="6">
        <v>45559</v>
      </c>
      <c r="C118" s="5" t="s">
        <v>236</v>
      </c>
      <c r="D118" s="5" t="s">
        <v>237</v>
      </c>
      <c r="E118" s="5" t="s">
        <v>63</v>
      </c>
      <c r="F118" s="5" t="s">
        <v>64</v>
      </c>
      <c r="G118" s="5" t="s">
        <v>21</v>
      </c>
      <c r="H118" s="5">
        <v>3</v>
      </c>
      <c r="I118" s="5">
        <v>899.99</v>
      </c>
      <c r="J118" s="5" t="s">
        <v>28</v>
      </c>
      <c r="K118" s="5" t="s">
        <v>42</v>
      </c>
      <c r="L118" s="5" t="s">
        <v>38</v>
      </c>
      <c r="M118" s="6">
        <v>45157</v>
      </c>
      <c r="N118" s="5">
        <v>2699.97</v>
      </c>
      <c r="O118" s="5" t="str">
        <f>TEXT(Table2[[#This Row],[Date]],"mmm")</f>
        <v>Sep</v>
      </c>
      <c r="R118">
        <f>SUMIF(Table2[Product_Name],F120,Table2[[#All],[Quantity]])</f>
        <v>67</v>
      </c>
    </row>
    <row r="119" spans="1:18" ht="15.75" customHeight="1" x14ac:dyDescent="0.3">
      <c r="A119" s="5" t="s">
        <v>258</v>
      </c>
      <c r="B119" s="6">
        <v>45560</v>
      </c>
      <c r="C119" s="5" t="s">
        <v>114</v>
      </c>
      <c r="D119" s="5" t="s">
        <v>115</v>
      </c>
      <c r="E119" s="5" t="s">
        <v>46</v>
      </c>
      <c r="F119" s="5" t="s">
        <v>47</v>
      </c>
      <c r="G119" s="5" t="s">
        <v>48</v>
      </c>
      <c r="H119" s="5">
        <v>3</v>
      </c>
      <c r="I119" s="5">
        <v>149.99</v>
      </c>
      <c r="J119" s="5" t="s">
        <v>36</v>
      </c>
      <c r="K119" s="5" t="s">
        <v>65</v>
      </c>
      <c r="L119" s="5" t="s">
        <v>24</v>
      </c>
      <c r="M119" s="6">
        <v>44886</v>
      </c>
      <c r="N119" s="5">
        <v>449.97</v>
      </c>
      <c r="O119" s="5" t="str">
        <f>TEXT(Table2[[#This Row],[Date]],"mmm")</f>
        <v>Sep</v>
      </c>
      <c r="R119">
        <f>SUMIF(Table2[Product_Name],F121,Table2[[#All],[Quantity]])</f>
        <v>43</v>
      </c>
    </row>
    <row r="120" spans="1:18" ht="15.75" customHeight="1" x14ac:dyDescent="0.3">
      <c r="A120" s="5" t="s">
        <v>259</v>
      </c>
      <c r="B120" s="6">
        <v>45563</v>
      </c>
      <c r="C120" s="5" t="s">
        <v>101</v>
      </c>
      <c r="D120" s="5" t="s">
        <v>102</v>
      </c>
      <c r="E120" s="5" t="s">
        <v>107</v>
      </c>
      <c r="F120" s="5" t="s">
        <v>108</v>
      </c>
      <c r="G120" s="5" t="s">
        <v>48</v>
      </c>
      <c r="H120" s="5">
        <v>2</v>
      </c>
      <c r="I120" s="5">
        <v>299.99</v>
      </c>
      <c r="J120" s="5" t="s">
        <v>59</v>
      </c>
      <c r="K120" s="5" t="s">
        <v>23</v>
      </c>
      <c r="L120" s="5" t="s">
        <v>24</v>
      </c>
      <c r="M120" s="6">
        <v>44569</v>
      </c>
      <c r="N120" s="5">
        <v>599.98</v>
      </c>
      <c r="O120" s="5" t="str">
        <f>TEXT(Table2[[#This Row],[Date]],"mmm")</f>
        <v>Sep</v>
      </c>
      <c r="R120">
        <f>SUMIF(Table2[Product_Name],F122,Table2[[#All],[Quantity]])</f>
        <v>67</v>
      </c>
    </row>
    <row r="121" spans="1:18" ht="15.75" customHeight="1" x14ac:dyDescent="0.3">
      <c r="A121" s="5" t="s">
        <v>260</v>
      </c>
      <c r="B121" s="6">
        <v>45564</v>
      </c>
      <c r="C121" s="5" t="s">
        <v>261</v>
      </c>
      <c r="D121" s="5" t="s">
        <v>262</v>
      </c>
      <c r="E121" s="5" t="s">
        <v>128</v>
      </c>
      <c r="F121" s="5" t="s">
        <v>129</v>
      </c>
      <c r="G121" s="5" t="s">
        <v>48</v>
      </c>
      <c r="H121" s="5">
        <v>1</v>
      </c>
      <c r="I121" s="5">
        <v>199.99</v>
      </c>
      <c r="J121" s="5" t="s">
        <v>59</v>
      </c>
      <c r="K121" s="5" t="s">
        <v>65</v>
      </c>
      <c r="L121" s="5" t="s">
        <v>38</v>
      </c>
      <c r="M121" s="6">
        <v>44953</v>
      </c>
      <c r="N121" s="5">
        <v>199.99</v>
      </c>
      <c r="O121" s="5" t="str">
        <f>TEXT(Table2[[#This Row],[Date]],"mmm")</f>
        <v>Sep</v>
      </c>
      <c r="R121">
        <f>SUMIF(Table2[Product_Name],F123,Table2[[#All],[Quantity]])</f>
        <v>98</v>
      </c>
    </row>
    <row r="122" spans="1:18" ht="15.75" customHeight="1" x14ac:dyDescent="0.3">
      <c r="A122" s="5" t="s">
        <v>263</v>
      </c>
      <c r="B122" s="6">
        <v>45566</v>
      </c>
      <c r="C122" s="5" t="s">
        <v>44</v>
      </c>
      <c r="D122" s="5" t="s">
        <v>45</v>
      </c>
      <c r="E122" s="5" t="s">
        <v>107</v>
      </c>
      <c r="F122" s="5" t="s">
        <v>108</v>
      </c>
      <c r="G122" s="5" t="s">
        <v>48</v>
      </c>
      <c r="H122" s="5">
        <v>4</v>
      </c>
      <c r="I122" s="5">
        <v>299.99</v>
      </c>
      <c r="J122" s="5" t="s">
        <v>22</v>
      </c>
      <c r="K122" s="5" t="s">
        <v>23</v>
      </c>
      <c r="L122" s="5" t="s">
        <v>29</v>
      </c>
      <c r="M122" s="6">
        <v>44460</v>
      </c>
      <c r="N122" s="5">
        <v>1199.96</v>
      </c>
      <c r="O122" s="5" t="str">
        <f>TEXT(Table2[[#This Row],[Date]],"mmm")</f>
        <v>Oct</v>
      </c>
      <c r="R122">
        <f>SUMIF(Table2[Product_Name],F124,Table2[[#All],[Quantity]])</f>
        <v>48</v>
      </c>
    </row>
    <row r="123" spans="1:18" ht="15.75" customHeight="1" x14ac:dyDescent="0.3">
      <c r="A123" s="5" t="s">
        <v>264</v>
      </c>
      <c r="B123" s="6">
        <v>45572</v>
      </c>
      <c r="C123" s="5" t="s">
        <v>91</v>
      </c>
      <c r="D123" s="5" t="s">
        <v>92</v>
      </c>
      <c r="E123" s="5" t="s">
        <v>33</v>
      </c>
      <c r="F123" s="5" t="s">
        <v>34</v>
      </c>
      <c r="G123" s="5" t="s">
        <v>35</v>
      </c>
      <c r="H123" s="5">
        <v>2</v>
      </c>
      <c r="I123" s="5">
        <v>59.99</v>
      </c>
      <c r="J123" s="5" t="s">
        <v>28</v>
      </c>
      <c r="K123" s="5" t="s">
        <v>23</v>
      </c>
      <c r="L123" s="5" t="s">
        <v>24</v>
      </c>
      <c r="M123" s="6">
        <v>44579</v>
      </c>
      <c r="N123" s="5">
        <v>119.98</v>
      </c>
      <c r="O123" s="5" t="str">
        <f>TEXT(Table2[[#This Row],[Date]],"mmm")</f>
        <v>Oct</v>
      </c>
      <c r="R123">
        <f>SUMIF(Table2[Product_Name],F125,Table2[[#All],[Quantity]])</f>
        <v>84</v>
      </c>
    </row>
    <row r="124" spans="1:18" ht="15.75" customHeight="1" x14ac:dyDescent="0.3">
      <c r="A124" s="5" t="s">
        <v>265</v>
      </c>
      <c r="B124" s="6">
        <v>45572</v>
      </c>
      <c r="C124" s="5" t="s">
        <v>236</v>
      </c>
      <c r="D124" s="5" t="s">
        <v>237</v>
      </c>
      <c r="E124" s="5" t="s">
        <v>54</v>
      </c>
      <c r="F124" s="5" t="s">
        <v>55</v>
      </c>
      <c r="G124" s="5" t="s">
        <v>21</v>
      </c>
      <c r="H124" s="5">
        <v>4</v>
      </c>
      <c r="I124" s="5">
        <v>149.99</v>
      </c>
      <c r="J124" s="5" t="s">
        <v>28</v>
      </c>
      <c r="K124" s="5" t="s">
        <v>42</v>
      </c>
      <c r="L124" s="5" t="s">
        <v>29</v>
      </c>
      <c r="M124" s="6">
        <v>45076</v>
      </c>
      <c r="N124" s="5">
        <v>599.96</v>
      </c>
      <c r="O124" s="5" t="str">
        <f>TEXT(Table2[[#This Row],[Date]],"mmm")</f>
        <v>Oct</v>
      </c>
      <c r="R124">
        <f>SUMIF(Table2[Product_Name],F126,Table2[[#All],[Quantity]])</f>
        <v>108</v>
      </c>
    </row>
    <row r="125" spans="1:18" ht="15.75" customHeight="1" x14ac:dyDescent="0.3">
      <c r="A125" s="5" t="s">
        <v>266</v>
      </c>
      <c r="B125" s="6">
        <v>45573</v>
      </c>
      <c r="C125" s="5" t="s">
        <v>213</v>
      </c>
      <c r="D125" s="5" t="s">
        <v>214</v>
      </c>
      <c r="E125" s="5" t="s">
        <v>82</v>
      </c>
      <c r="F125" s="5" t="s">
        <v>83</v>
      </c>
      <c r="G125" s="5" t="s">
        <v>21</v>
      </c>
      <c r="H125" s="5">
        <v>2</v>
      </c>
      <c r="I125" s="5">
        <v>699.99</v>
      </c>
      <c r="J125" s="5" t="s">
        <v>59</v>
      </c>
      <c r="K125" s="5" t="s">
        <v>65</v>
      </c>
      <c r="L125" s="5" t="s">
        <v>29</v>
      </c>
      <c r="M125" s="6">
        <v>45274</v>
      </c>
      <c r="N125" s="5">
        <v>1399.98</v>
      </c>
      <c r="O125" s="5" t="str">
        <f>TEXT(Table2[[#This Row],[Date]],"mmm")</f>
        <v>Oct</v>
      </c>
      <c r="R125">
        <f>SUMIF(Table2[Product_Name],F127,Table2[[#All],[Quantity]])</f>
        <v>67</v>
      </c>
    </row>
    <row r="126" spans="1:18" ht="15.75" customHeight="1" x14ac:dyDescent="0.3">
      <c r="A126" s="5" t="s">
        <v>267</v>
      </c>
      <c r="B126" s="6">
        <v>45573</v>
      </c>
      <c r="C126" s="5" t="s">
        <v>233</v>
      </c>
      <c r="D126" s="5" t="s">
        <v>234</v>
      </c>
      <c r="E126" s="5" t="s">
        <v>46</v>
      </c>
      <c r="F126" s="5" t="s">
        <v>47</v>
      </c>
      <c r="G126" s="5" t="s">
        <v>48</v>
      </c>
      <c r="H126" s="5">
        <v>3</v>
      </c>
      <c r="I126" s="5">
        <v>149.99</v>
      </c>
      <c r="J126" s="5" t="s">
        <v>28</v>
      </c>
      <c r="K126" s="5" t="s">
        <v>37</v>
      </c>
      <c r="L126" s="5" t="s">
        <v>38</v>
      </c>
      <c r="M126" s="6">
        <v>44940</v>
      </c>
      <c r="N126" s="5">
        <v>449.97</v>
      </c>
      <c r="O126" s="5" t="str">
        <f>TEXT(Table2[[#This Row],[Date]],"mmm")</f>
        <v>Oct</v>
      </c>
      <c r="R126">
        <f>SUMIF(Table2[Product_Name],F128,Table2[[#All],[Quantity]])</f>
        <v>67</v>
      </c>
    </row>
    <row r="127" spans="1:18" ht="15.75" customHeight="1" x14ac:dyDescent="0.3">
      <c r="A127" s="5" t="s">
        <v>268</v>
      </c>
      <c r="B127" s="6">
        <v>45576</v>
      </c>
      <c r="C127" s="5" t="s">
        <v>149</v>
      </c>
      <c r="D127" s="5" t="s">
        <v>150</v>
      </c>
      <c r="E127" s="5" t="s">
        <v>107</v>
      </c>
      <c r="F127" s="5" t="s">
        <v>108</v>
      </c>
      <c r="G127" s="5" t="s">
        <v>48</v>
      </c>
      <c r="H127" s="5">
        <v>3</v>
      </c>
      <c r="I127" s="5">
        <v>299.99</v>
      </c>
      <c r="J127" s="5" t="s">
        <v>28</v>
      </c>
      <c r="K127" s="5" t="s">
        <v>23</v>
      </c>
      <c r="L127" s="5" t="s">
        <v>38</v>
      </c>
      <c r="M127" s="6">
        <v>45174</v>
      </c>
      <c r="N127" s="5">
        <v>899.97</v>
      </c>
      <c r="O127" s="5" t="str">
        <f>TEXT(Table2[[#This Row],[Date]],"mmm")</f>
        <v>Oct</v>
      </c>
      <c r="R127">
        <f>SUMIF(Table2[Product_Name],F129,Table2[[#All],[Quantity]])</f>
        <v>84</v>
      </c>
    </row>
    <row r="128" spans="1:18" ht="15.75" customHeight="1" x14ac:dyDescent="0.3">
      <c r="A128" s="5" t="s">
        <v>269</v>
      </c>
      <c r="B128" s="6">
        <v>45579</v>
      </c>
      <c r="C128" s="5" t="s">
        <v>85</v>
      </c>
      <c r="D128" s="5" t="s">
        <v>86</v>
      </c>
      <c r="E128" s="5" t="s">
        <v>63</v>
      </c>
      <c r="F128" s="5" t="s">
        <v>64</v>
      </c>
      <c r="G128" s="5" t="s">
        <v>21</v>
      </c>
      <c r="H128" s="5">
        <v>3</v>
      </c>
      <c r="I128" s="5">
        <v>899.99</v>
      </c>
      <c r="J128" s="5" t="s">
        <v>36</v>
      </c>
      <c r="K128" s="5" t="s">
        <v>52</v>
      </c>
      <c r="L128" s="5" t="s">
        <v>24</v>
      </c>
      <c r="M128" s="6">
        <v>45215</v>
      </c>
      <c r="N128" s="5">
        <v>2699.97</v>
      </c>
      <c r="O128" s="5" t="str">
        <f>TEXT(Table2[[#This Row],[Date]],"mmm")</f>
        <v>Oct</v>
      </c>
      <c r="R128">
        <f>SUMIF(Table2[Product_Name],F130,Table2[[#All],[Quantity]])</f>
        <v>84</v>
      </c>
    </row>
    <row r="129" spans="1:18" ht="15.75" customHeight="1" x14ac:dyDescent="0.3">
      <c r="A129" s="5" t="s">
        <v>270</v>
      </c>
      <c r="B129" s="6">
        <v>45581</v>
      </c>
      <c r="C129" s="5" t="s">
        <v>98</v>
      </c>
      <c r="D129" s="5" t="s">
        <v>99</v>
      </c>
      <c r="E129" s="5" t="s">
        <v>82</v>
      </c>
      <c r="F129" s="5" t="s">
        <v>83</v>
      </c>
      <c r="G129" s="5" t="s">
        <v>21</v>
      </c>
      <c r="H129" s="5">
        <v>5</v>
      </c>
      <c r="I129" s="5">
        <v>699.99</v>
      </c>
      <c r="J129" s="5" t="s">
        <v>22</v>
      </c>
      <c r="K129" s="5" t="s">
        <v>65</v>
      </c>
      <c r="L129" s="5" t="s">
        <v>38</v>
      </c>
      <c r="M129" s="6">
        <v>45008</v>
      </c>
      <c r="N129" s="5">
        <v>3499.95</v>
      </c>
      <c r="O129" s="5" t="str">
        <f>TEXT(Table2[[#This Row],[Date]],"mmm")</f>
        <v>Oct</v>
      </c>
      <c r="R129">
        <f>SUMIF(Table2[Product_Name],F131,Table2[[#All],[Quantity]])</f>
        <v>67</v>
      </c>
    </row>
    <row r="130" spans="1:18" ht="15.75" customHeight="1" x14ac:dyDescent="0.3">
      <c r="A130" s="5" t="s">
        <v>271</v>
      </c>
      <c r="B130" s="6">
        <v>45581</v>
      </c>
      <c r="C130" s="5" t="s">
        <v>173</v>
      </c>
      <c r="D130" s="5" t="s">
        <v>174</v>
      </c>
      <c r="E130" s="5" t="s">
        <v>82</v>
      </c>
      <c r="F130" s="5" t="s">
        <v>83</v>
      </c>
      <c r="G130" s="5" t="s">
        <v>21</v>
      </c>
      <c r="H130" s="5">
        <v>4</v>
      </c>
      <c r="I130" s="5">
        <v>699.99</v>
      </c>
      <c r="J130" s="5" t="s">
        <v>28</v>
      </c>
      <c r="K130" s="5" t="s">
        <v>23</v>
      </c>
      <c r="L130" s="5" t="s">
        <v>24</v>
      </c>
      <c r="M130" s="6">
        <v>45385</v>
      </c>
      <c r="N130" s="5">
        <v>2799.96</v>
      </c>
      <c r="O130" s="5" t="str">
        <f>TEXT(Table2[[#This Row],[Date]],"mmm")</f>
        <v>Oct</v>
      </c>
      <c r="R130">
        <f>SUMIF(Table2[Product_Name],F132,Table2[[#All],[Quantity]])</f>
        <v>48</v>
      </c>
    </row>
    <row r="131" spans="1:18" ht="15.75" customHeight="1" x14ac:dyDescent="0.3">
      <c r="A131" s="5" t="s">
        <v>272</v>
      </c>
      <c r="B131" s="6">
        <v>45581</v>
      </c>
      <c r="C131" s="5" t="s">
        <v>152</v>
      </c>
      <c r="D131" s="5" t="s">
        <v>153</v>
      </c>
      <c r="E131" s="5" t="s">
        <v>63</v>
      </c>
      <c r="F131" s="5" t="s">
        <v>64</v>
      </c>
      <c r="G131" s="5" t="s">
        <v>21</v>
      </c>
      <c r="H131" s="5">
        <v>1</v>
      </c>
      <c r="I131" s="5">
        <v>899.99</v>
      </c>
      <c r="J131" s="5" t="s">
        <v>28</v>
      </c>
      <c r="K131" s="5" t="s">
        <v>65</v>
      </c>
      <c r="L131" s="5" t="s">
        <v>38</v>
      </c>
      <c r="M131" s="6">
        <v>45369</v>
      </c>
      <c r="N131" s="5">
        <v>899.99</v>
      </c>
      <c r="O131" s="5" t="str">
        <f>TEXT(Table2[[#This Row],[Date]],"mmm")</f>
        <v>Oct</v>
      </c>
      <c r="R131">
        <f>SUMIF(Table2[Product_Name],F133,Table2[[#All],[Quantity]])</f>
        <v>99</v>
      </c>
    </row>
    <row r="132" spans="1:18" ht="15.75" customHeight="1" x14ac:dyDescent="0.3">
      <c r="A132" s="5" t="s">
        <v>273</v>
      </c>
      <c r="B132" s="6">
        <v>45583</v>
      </c>
      <c r="C132" s="5" t="s">
        <v>228</v>
      </c>
      <c r="D132" s="5" t="s">
        <v>229</v>
      </c>
      <c r="E132" s="5" t="s">
        <v>54</v>
      </c>
      <c r="F132" s="5" t="s">
        <v>55</v>
      </c>
      <c r="G132" s="5" t="s">
        <v>21</v>
      </c>
      <c r="H132" s="5">
        <v>2</v>
      </c>
      <c r="I132" s="5">
        <v>149.99</v>
      </c>
      <c r="J132" s="5" t="s">
        <v>28</v>
      </c>
      <c r="K132" s="5" t="s">
        <v>52</v>
      </c>
      <c r="L132" s="5" t="s">
        <v>24</v>
      </c>
      <c r="M132" s="6">
        <v>44916</v>
      </c>
      <c r="N132" s="5">
        <v>299.98</v>
      </c>
      <c r="O132" s="5" t="str">
        <f>TEXT(Table2[[#This Row],[Date]],"mmm")</f>
        <v>Oct</v>
      </c>
      <c r="R132">
        <f>SUMIF(Table2[Product_Name],F134,Table2[[#All],[Quantity]])</f>
        <v>48</v>
      </c>
    </row>
    <row r="133" spans="1:18" ht="15.75" customHeight="1" x14ac:dyDescent="0.3">
      <c r="A133" s="5" t="s">
        <v>274</v>
      </c>
      <c r="B133" s="6">
        <v>45586</v>
      </c>
      <c r="C133" s="5" t="s">
        <v>228</v>
      </c>
      <c r="D133" s="5" t="s">
        <v>229</v>
      </c>
      <c r="E133" s="5" t="s">
        <v>119</v>
      </c>
      <c r="F133" s="5" t="s">
        <v>120</v>
      </c>
      <c r="G133" s="5" t="s">
        <v>21</v>
      </c>
      <c r="H133" s="5">
        <v>3</v>
      </c>
      <c r="I133" s="5">
        <v>89.99</v>
      </c>
      <c r="J133" s="5" t="s">
        <v>36</v>
      </c>
      <c r="K133" s="5" t="s">
        <v>23</v>
      </c>
      <c r="L133" s="5" t="s">
        <v>24</v>
      </c>
      <c r="M133" s="6">
        <v>44551</v>
      </c>
      <c r="N133" s="5">
        <v>269.97000000000003</v>
      </c>
      <c r="O133" s="5" t="str">
        <f>TEXT(Table2[[#This Row],[Date]],"mmm")</f>
        <v>Oct</v>
      </c>
      <c r="R133">
        <f>SUMIF(Table2[Product_Name],F135,Table2[[#All],[Quantity]])</f>
        <v>84</v>
      </c>
    </row>
    <row r="134" spans="1:18" ht="15.75" customHeight="1" x14ac:dyDescent="0.3">
      <c r="A134" s="5" t="s">
        <v>275</v>
      </c>
      <c r="B134" s="6">
        <v>45588</v>
      </c>
      <c r="C134" s="5" t="s">
        <v>40</v>
      </c>
      <c r="D134" s="5" t="s">
        <v>41</v>
      </c>
      <c r="E134" s="5" t="s">
        <v>54</v>
      </c>
      <c r="F134" s="5" t="s">
        <v>55</v>
      </c>
      <c r="G134" s="5" t="s">
        <v>21</v>
      </c>
      <c r="H134" s="5">
        <v>2</v>
      </c>
      <c r="I134" s="5">
        <v>149.99</v>
      </c>
      <c r="J134" s="5" t="s">
        <v>36</v>
      </c>
      <c r="K134" s="5" t="s">
        <v>23</v>
      </c>
      <c r="L134" s="5" t="s">
        <v>24</v>
      </c>
      <c r="M134" s="6">
        <v>44473</v>
      </c>
      <c r="N134" s="5">
        <v>299.98</v>
      </c>
      <c r="O134" s="5" t="str">
        <f>TEXT(Table2[[#This Row],[Date]],"mmm")</f>
        <v>Oct</v>
      </c>
      <c r="R134">
        <f>SUMIF(Table2[Product_Name],F136,Table2[[#All],[Quantity]])</f>
        <v>84</v>
      </c>
    </row>
    <row r="135" spans="1:18" ht="15.75" customHeight="1" x14ac:dyDescent="0.3">
      <c r="A135" s="5" t="s">
        <v>276</v>
      </c>
      <c r="B135" s="6">
        <v>45588</v>
      </c>
      <c r="C135" s="5" t="s">
        <v>156</v>
      </c>
      <c r="D135" s="5" t="s">
        <v>157</v>
      </c>
      <c r="E135" s="5" t="s">
        <v>82</v>
      </c>
      <c r="F135" s="5" t="s">
        <v>83</v>
      </c>
      <c r="G135" s="5" t="s">
        <v>21</v>
      </c>
      <c r="H135" s="5">
        <v>2</v>
      </c>
      <c r="I135" s="5">
        <v>699.99</v>
      </c>
      <c r="J135" s="5" t="s">
        <v>22</v>
      </c>
      <c r="K135" s="5" t="s">
        <v>23</v>
      </c>
      <c r="L135" s="5" t="s">
        <v>24</v>
      </c>
      <c r="M135" s="6">
        <v>44992</v>
      </c>
      <c r="N135" s="5">
        <v>1399.98</v>
      </c>
      <c r="O135" s="5" t="str">
        <f>TEXT(Table2[[#This Row],[Date]],"mmm")</f>
        <v>Oct</v>
      </c>
      <c r="R135">
        <f>SUMIF(Table2[Product_Name],F137,Table2[[#All],[Quantity]])</f>
        <v>99</v>
      </c>
    </row>
    <row r="136" spans="1:18" ht="15.75" customHeight="1" x14ac:dyDescent="0.3">
      <c r="A136" s="5" t="s">
        <v>277</v>
      </c>
      <c r="B136" s="6">
        <v>45589</v>
      </c>
      <c r="C136" s="5" t="s">
        <v>160</v>
      </c>
      <c r="D136" s="5" t="s">
        <v>161</v>
      </c>
      <c r="E136" s="5" t="s">
        <v>82</v>
      </c>
      <c r="F136" s="5" t="s">
        <v>83</v>
      </c>
      <c r="G136" s="5" t="s">
        <v>21</v>
      </c>
      <c r="H136" s="5">
        <v>5</v>
      </c>
      <c r="I136" s="5">
        <v>699.99</v>
      </c>
      <c r="J136" s="5" t="s">
        <v>22</v>
      </c>
      <c r="K136" s="5" t="s">
        <v>42</v>
      </c>
      <c r="L136" s="5" t="s">
        <v>29</v>
      </c>
      <c r="M136" s="6">
        <v>44635</v>
      </c>
      <c r="N136" s="5">
        <v>3499.95</v>
      </c>
      <c r="O136" s="5" t="str">
        <f>TEXT(Table2[[#This Row],[Date]],"mmm")</f>
        <v>Oct</v>
      </c>
      <c r="R136">
        <f>SUMIF(Table2[Product_Name],F138,Table2[[#All],[Quantity]])</f>
        <v>86</v>
      </c>
    </row>
    <row r="137" spans="1:18" ht="15.75" customHeight="1" x14ac:dyDescent="0.3">
      <c r="A137" s="5" t="s">
        <v>278</v>
      </c>
      <c r="B137" s="6">
        <v>45592</v>
      </c>
      <c r="C137" s="5" t="s">
        <v>173</v>
      </c>
      <c r="D137" s="5" t="s">
        <v>174</v>
      </c>
      <c r="E137" s="5" t="s">
        <v>119</v>
      </c>
      <c r="F137" s="5" t="s">
        <v>120</v>
      </c>
      <c r="G137" s="5" t="s">
        <v>21</v>
      </c>
      <c r="H137" s="5">
        <v>3</v>
      </c>
      <c r="I137" s="5">
        <v>89.99</v>
      </c>
      <c r="J137" s="5" t="s">
        <v>28</v>
      </c>
      <c r="K137" s="5" t="s">
        <v>42</v>
      </c>
      <c r="L137" s="5" t="s">
        <v>38</v>
      </c>
      <c r="M137" s="6">
        <v>44615</v>
      </c>
      <c r="N137" s="5">
        <v>269.97000000000003</v>
      </c>
      <c r="O137" s="5" t="str">
        <f>TEXT(Table2[[#This Row],[Date]],"mmm")</f>
        <v>Oct</v>
      </c>
      <c r="R137">
        <f>SUMIF(Table2[Product_Name],F139,Table2[[#All],[Quantity]])</f>
        <v>67</v>
      </c>
    </row>
    <row r="138" spans="1:18" ht="15.75" customHeight="1" x14ac:dyDescent="0.3">
      <c r="A138" s="5" t="s">
        <v>279</v>
      </c>
      <c r="B138" s="6">
        <v>45597</v>
      </c>
      <c r="C138" s="5" t="s">
        <v>17</v>
      </c>
      <c r="D138" s="5" t="s">
        <v>18</v>
      </c>
      <c r="E138" s="5" t="s">
        <v>19</v>
      </c>
      <c r="F138" s="5" t="s">
        <v>20</v>
      </c>
      <c r="G138" s="5" t="s">
        <v>21</v>
      </c>
      <c r="H138" s="5">
        <v>5</v>
      </c>
      <c r="I138" s="5">
        <v>249.99</v>
      </c>
      <c r="J138" s="5" t="s">
        <v>28</v>
      </c>
      <c r="K138" s="5" t="s">
        <v>37</v>
      </c>
      <c r="L138" s="5" t="s">
        <v>38</v>
      </c>
      <c r="M138" s="6">
        <v>44881</v>
      </c>
      <c r="N138" s="5">
        <v>1249.95</v>
      </c>
      <c r="O138" s="5" t="str">
        <f>TEXT(Table2[[#This Row],[Date]],"mmm")</f>
        <v>Nov</v>
      </c>
      <c r="R138">
        <f>SUMIF(Table2[Product_Name],F140,Table2[[#All],[Quantity]])</f>
        <v>99</v>
      </c>
    </row>
    <row r="139" spans="1:18" ht="15.75" customHeight="1" x14ac:dyDescent="0.3">
      <c r="A139" s="5" t="s">
        <v>280</v>
      </c>
      <c r="B139" s="6">
        <v>45600</v>
      </c>
      <c r="C139" s="5" t="s">
        <v>67</v>
      </c>
      <c r="D139" s="5" t="s">
        <v>68</v>
      </c>
      <c r="E139" s="5" t="s">
        <v>107</v>
      </c>
      <c r="F139" s="5" t="s">
        <v>108</v>
      </c>
      <c r="G139" s="5" t="s">
        <v>48</v>
      </c>
      <c r="H139" s="5">
        <v>3</v>
      </c>
      <c r="I139" s="5">
        <v>299.99</v>
      </c>
      <c r="J139" s="5" t="s">
        <v>28</v>
      </c>
      <c r="K139" s="5" t="s">
        <v>37</v>
      </c>
      <c r="L139" s="5" t="s">
        <v>38</v>
      </c>
      <c r="M139" s="6">
        <v>44502</v>
      </c>
      <c r="N139" s="5">
        <v>899.97</v>
      </c>
      <c r="O139" s="5" t="str">
        <f>TEXT(Table2[[#This Row],[Date]],"mmm")</f>
        <v>Nov</v>
      </c>
      <c r="R139">
        <f>SUMIF(Table2[Product_Name],F141,Table2[[#All],[Quantity]])</f>
        <v>108</v>
      </c>
    </row>
    <row r="140" spans="1:18" ht="15.75" customHeight="1" x14ac:dyDescent="0.3">
      <c r="A140" s="5" t="s">
        <v>281</v>
      </c>
      <c r="B140" s="6">
        <v>45603</v>
      </c>
      <c r="C140" s="5" t="s">
        <v>101</v>
      </c>
      <c r="D140" s="5" t="s">
        <v>102</v>
      </c>
      <c r="E140" s="5" t="s">
        <v>119</v>
      </c>
      <c r="F140" s="5" t="s">
        <v>120</v>
      </c>
      <c r="G140" s="5" t="s">
        <v>21</v>
      </c>
      <c r="H140" s="5">
        <v>3</v>
      </c>
      <c r="I140" s="5">
        <v>89.99</v>
      </c>
      <c r="J140" s="5" t="s">
        <v>28</v>
      </c>
      <c r="K140" s="5" t="s">
        <v>42</v>
      </c>
      <c r="L140" s="5" t="s">
        <v>29</v>
      </c>
      <c r="M140" s="6">
        <v>44420</v>
      </c>
      <c r="N140" s="5">
        <v>269.97000000000003</v>
      </c>
      <c r="O140" s="5" t="str">
        <f>TEXT(Table2[[#This Row],[Date]],"mmm")</f>
        <v>Nov</v>
      </c>
      <c r="R140">
        <f>SUMIF(Table2[Product_Name],F142,Table2[[#All],[Quantity]])</f>
        <v>86</v>
      </c>
    </row>
    <row r="141" spans="1:18" ht="15.75" customHeight="1" x14ac:dyDescent="0.3">
      <c r="A141" s="5" t="s">
        <v>282</v>
      </c>
      <c r="B141" s="6">
        <v>45604</v>
      </c>
      <c r="C141" s="5" t="s">
        <v>91</v>
      </c>
      <c r="D141" s="5" t="s">
        <v>92</v>
      </c>
      <c r="E141" s="5" t="s">
        <v>46</v>
      </c>
      <c r="F141" s="5" t="s">
        <v>47</v>
      </c>
      <c r="G141" s="5" t="s">
        <v>48</v>
      </c>
      <c r="H141" s="5">
        <v>2</v>
      </c>
      <c r="I141" s="5">
        <v>149.99</v>
      </c>
      <c r="J141" s="5" t="s">
        <v>28</v>
      </c>
      <c r="K141" s="5" t="s">
        <v>52</v>
      </c>
      <c r="L141" s="5" t="s">
        <v>29</v>
      </c>
      <c r="M141" s="6">
        <v>44848</v>
      </c>
      <c r="N141" s="5">
        <v>299.98</v>
      </c>
      <c r="O141" s="5" t="str">
        <f>TEXT(Table2[[#This Row],[Date]],"mmm")</f>
        <v>Nov</v>
      </c>
      <c r="R141">
        <f>SUMIF(Table2[Product_Name],F143,Table2[[#All],[Quantity]])</f>
        <v>48</v>
      </c>
    </row>
    <row r="142" spans="1:18" ht="15.75" customHeight="1" x14ac:dyDescent="0.3">
      <c r="A142" s="5" t="s">
        <v>283</v>
      </c>
      <c r="B142" s="6">
        <v>45605</v>
      </c>
      <c r="C142" s="5" t="s">
        <v>187</v>
      </c>
      <c r="D142" s="5" t="s">
        <v>188</v>
      </c>
      <c r="E142" s="5" t="s">
        <v>19</v>
      </c>
      <c r="F142" s="5" t="s">
        <v>20</v>
      </c>
      <c r="G142" s="5" t="s">
        <v>21</v>
      </c>
      <c r="H142" s="5">
        <v>1</v>
      </c>
      <c r="I142" s="5">
        <v>249.99</v>
      </c>
      <c r="J142" s="5" t="s">
        <v>28</v>
      </c>
      <c r="K142" s="5" t="s">
        <v>42</v>
      </c>
      <c r="L142" s="5" t="s">
        <v>29</v>
      </c>
      <c r="M142" s="6">
        <v>44828</v>
      </c>
      <c r="N142" s="5">
        <v>249.99</v>
      </c>
      <c r="O142" s="5" t="str">
        <f>TEXT(Table2[[#This Row],[Date]],"mmm")</f>
        <v>Nov</v>
      </c>
      <c r="R142">
        <f>SUMIF(Table2[Product_Name],F144,Table2[[#All],[Quantity]])</f>
        <v>98</v>
      </c>
    </row>
    <row r="143" spans="1:18" ht="15.75" customHeight="1" x14ac:dyDescent="0.3">
      <c r="A143" s="5" t="s">
        <v>284</v>
      </c>
      <c r="B143" s="6">
        <v>45607</v>
      </c>
      <c r="C143" s="5" t="s">
        <v>74</v>
      </c>
      <c r="D143" s="5" t="s">
        <v>75</v>
      </c>
      <c r="E143" s="5" t="s">
        <v>54</v>
      </c>
      <c r="F143" s="5" t="s">
        <v>55</v>
      </c>
      <c r="G143" s="5" t="s">
        <v>21</v>
      </c>
      <c r="H143" s="5">
        <v>3</v>
      </c>
      <c r="I143" s="5">
        <v>149.99</v>
      </c>
      <c r="J143" s="5" t="s">
        <v>22</v>
      </c>
      <c r="K143" s="5" t="s">
        <v>42</v>
      </c>
      <c r="L143" s="5" t="s">
        <v>24</v>
      </c>
      <c r="M143" s="6">
        <v>44769</v>
      </c>
      <c r="N143" s="5">
        <v>449.97</v>
      </c>
      <c r="O143" s="5" t="str">
        <f>TEXT(Table2[[#This Row],[Date]],"mmm")</f>
        <v>Nov</v>
      </c>
      <c r="R143">
        <f>SUMIF(Table2[Product_Name],F145,Table2[[#All],[Quantity]])</f>
        <v>86</v>
      </c>
    </row>
    <row r="144" spans="1:18" ht="15.75" customHeight="1" x14ac:dyDescent="0.3">
      <c r="A144" s="5" t="s">
        <v>285</v>
      </c>
      <c r="B144" s="6">
        <v>45607</v>
      </c>
      <c r="C144" s="5" t="s">
        <v>17</v>
      </c>
      <c r="D144" s="5" t="s">
        <v>18</v>
      </c>
      <c r="E144" s="5" t="s">
        <v>33</v>
      </c>
      <c r="F144" s="5" t="s">
        <v>34</v>
      </c>
      <c r="G144" s="5" t="s">
        <v>35</v>
      </c>
      <c r="H144" s="5">
        <v>5</v>
      </c>
      <c r="I144" s="5">
        <v>59.99</v>
      </c>
      <c r="J144" s="5" t="s">
        <v>36</v>
      </c>
      <c r="K144" s="5" t="s">
        <v>52</v>
      </c>
      <c r="L144" s="5" t="s">
        <v>29</v>
      </c>
      <c r="M144" s="6">
        <v>44694</v>
      </c>
      <c r="N144" s="5">
        <v>299.95</v>
      </c>
      <c r="O144" s="5" t="str">
        <f>TEXT(Table2[[#This Row],[Date]],"mmm")</f>
        <v>Nov</v>
      </c>
      <c r="R144">
        <f>SUMIF(Table2[Product_Name],F146,Table2[[#All],[Quantity]])</f>
        <v>108</v>
      </c>
    </row>
    <row r="145" spans="1:18" ht="15.75" customHeight="1" x14ac:dyDescent="0.3">
      <c r="A145" s="5" t="s">
        <v>286</v>
      </c>
      <c r="B145" s="6">
        <v>45607</v>
      </c>
      <c r="C145" s="5" t="s">
        <v>101</v>
      </c>
      <c r="D145" s="5" t="s">
        <v>102</v>
      </c>
      <c r="E145" s="5" t="s">
        <v>19</v>
      </c>
      <c r="F145" s="5" t="s">
        <v>20</v>
      </c>
      <c r="G145" s="5" t="s">
        <v>21</v>
      </c>
      <c r="H145" s="5">
        <v>4</v>
      </c>
      <c r="I145" s="5">
        <v>249.99</v>
      </c>
      <c r="J145" s="5" t="s">
        <v>28</v>
      </c>
      <c r="K145" s="5" t="s">
        <v>52</v>
      </c>
      <c r="L145" s="5" t="s">
        <v>38</v>
      </c>
      <c r="M145" s="6">
        <v>44659</v>
      </c>
      <c r="N145" s="5">
        <v>999.96</v>
      </c>
      <c r="O145" s="5" t="str">
        <f>TEXT(Table2[[#This Row],[Date]],"mmm")</f>
        <v>Nov</v>
      </c>
      <c r="R145">
        <f>SUMIF(Table2[Product_Name],F147,Table2[[#All],[Quantity]])</f>
        <v>98</v>
      </c>
    </row>
    <row r="146" spans="1:18" ht="15.75" customHeight="1" x14ac:dyDescent="0.3">
      <c r="A146" s="5" t="s">
        <v>287</v>
      </c>
      <c r="B146" s="6">
        <v>45608</v>
      </c>
      <c r="C146" s="5" t="s">
        <v>156</v>
      </c>
      <c r="D146" s="5" t="s">
        <v>157</v>
      </c>
      <c r="E146" s="5" t="s">
        <v>46</v>
      </c>
      <c r="F146" s="5" t="s">
        <v>47</v>
      </c>
      <c r="G146" s="5" t="s">
        <v>48</v>
      </c>
      <c r="H146" s="5">
        <v>5</v>
      </c>
      <c r="I146" s="5">
        <v>149.99</v>
      </c>
      <c r="J146" s="5" t="s">
        <v>36</v>
      </c>
      <c r="K146" s="5" t="s">
        <v>23</v>
      </c>
      <c r="L146" s="5" t="s">
        <v>24</v>
      </c>
      <c r="M146" s="6">
        <v>44901</v>
      </c>
      <c r="N146" s="5">
        <v>749.95</v>
      </c>
      <c r="O146" s="5" t="str">
        <f>TEXT(Table2[[#This Row],[Date]],"mmm")</f>
        <v>Nov</v>
      </c>
      <c r="R146">
        <f>SUMIF(Table2[Product_Name],F148,Table2[[#All],[Quantity]])</f>
        <v>108</v>
      </c>
    </row>
    <row r="147" spans="1:18" ht="15.75" customHeight="1" x14ac:dyDescent="0.3">
      <c r="A147" s="5" t="s">
        <v>288</v>
      </c>
      <c r="B147" s="6">
        <v>45608</v>
      </c>
      <c r="C147" s="5" t="s">
        <v>85</v>
      </c>
      <c r="D147" s="5" t="s">
        <v>86</v>
      </c>
      <c r="E147" s="5" t="s">
        <v>33</v>
      </c>
      <c r="F147" s="5" t="s">
        <v>34</v>
      </c>
      <c r="G147" s="5" t="s">
        <v>35</v>
      </c>
      <c r="H147" s="5">
        <v>3</v>
      </c>
      <c r="I147" s="5">
        <v>59.99</v>
      </c>
      <c r="J147" s="5" t="s">
        <v>59</v>
      </c>
      <c r="K147" s="5" t="s">
        <v>37</v>
      </c>
      <c r="L147" s="5" t="s">
        <v>38</v>
      </c>
      <c r="M147" s="6">
        <v>45260</v>
      </c>
      <c r="N147" s="5">
        <v>179.97</v>
      </c>
      <c r="O147" s="5" t="str">
        <f>TEXT(Table2[[#This Row],[Date]],"mmm")</f>
        <v>Nov</v>
      </c>
      <c r="R147">
        <f>SUMIF(Table2[Product_Name],F149,Table2[[#All],[Quantity]])</f>
        <v>84</v>
      </c>
    </row>
    <row r="148" spans="1:18" ht="15.75" customHeight="1" x14ac:dyDescent="0.3">
      <c r="A148" s="5" t="s">
        <v>289</v>
      </c>
      <c r="B148" s="6">
        <v>45613</v>
      </c>
      <c r="C148" s="5" t="s">
        <v>236</v>
      </c>
      <c r="D148" s="5" t="s">
        <v>237</v>
      </c>
      <c r="E148" s="5" t="s">
        <v>46</v>
      </c>
      <c r="F148" s="5" t="s">
        <v>47</v>
      </c>
      <c r="G148" s="5" t="s">
        <v>48</v>
      </c>
      <c r="H148" s="5">
        <v>5</v>
      </c>
      <c r="I148" s="5">
        <v>149.99</v>
      </c>
      <c r="J148" s="5" t="s">
        <v>22</v>
      </c>
      <c r="K148" s="5" t="s">
        <v>42</v>
      </c>
      <c r="L148" s="5" t="s">
        <v>24</v>
      </c>
      <c r="M148" s="6">
        <v>44869</v>
      </c>
      <c r="N148" s="5">
        <v>749.95</v>
      </c>
      <c r="O148" s="5" t="str">
        <f>TEXT(Table2[[#This Row],[Date]],"mmm")</f>
        <v>Nov</v>
      </c>
      <c r="R148">
        <f>SUMIF(Table2[Product_Name],F150,Table2[[#All],[Quantity]])</f>
        <v>43</v>
      </c>
    </row>
    <row r="149" spans="1:18" ht="15.75" customHeight="1" x14ac:dyDescent="0.3">
      <c r="A149" s="5" t="s">
        <v>290</v>
      </c>
      <c r="B149" s="6">
        <v>45613</v>
      </c>
      <c r="C149" s="5" t="s">
        <v>88</v>
      </c>
      <c r="D149" s="5" t="s">
        <v>89</v>
      </c>
      <c r="E149" s="5" t="s">
        <v>82</v>
      </c>
      <c r="F149" s="5" t="s">
        <v>83</v>
      </c>
      <c r="G149" s="5" t="s">
        <v>21</v>
      </c>
      <c r="H149" s="5">
        <v>2</v>
      </c>
      <c r="I149" s="5">
        <v>699.99</v>
      </c>
      <c r="J149" s="5" t="s">
        <v>36</v>
      </c>
      <c r="K149" s="5" t="s">
        <v>52</v>
      </c>
      <c r="L149" s="5" t="s">
        <v>38</v>
      </c>
      <c r="M149" s="6">
        <v>44770</v>
      </c>
      <c r="N149" s="5">
        <v>1399.98</v>
      </c>
      <c r="O149" s="5" t="str">
        <f>TEXT(Table2[[#This Row],[Date]],"mmm")</f>
        <v>Nov</v>
      </c>
      <c r="R149">
        <f>SUMIF(Table2[Product_Name],F151,Table2[[#All],[Quantity]])</f>
        <v>98</v>
      </c>
    </row>
    <row r="150" spans="1:18" ht="15.75" customHeight="1" x14ac:dyDescent="0.3">
      <c r="A150" s="5" t="s">
        <v>291</v>
      </c>
      <c r="B150" s="6">
        <v>45617</v>
      </c>
      <c r="C150" s="5" t="s">
        <v>125</v>
      </c>
      <c r="D150" s="5" t="s">
        <v>126</v>
      </c>
      <c r="E150" s="5" t="s">
        <v>128</v>
      </c>
      <c r="F150" s="5" t="s">
        <v>129</v>
      </c>
      <c r="G150" s="5" t="s">
        <v>48</v>
      </c>
      <c r="H150" s="5">
        <v>4</v>
      </c>
      <c r="I150" s="5">
        <v>199.99</v>
      </c>
      <c r="J150" s="5" t="s">
        <v>59</v>
      </c>
      <c r="K150" s="5" t="s">
        <v>23</v>
      </c>
      <c r="L150" s="5" t="s">
        <v>29</v>
      </c>
      <c r="M150" s="6">
        <v>44427</v>
      </c>
      <c r="N150" s="5">
        <v>799.96</v>
      </c>
      <c r="O150" s="5" t="str">
        <f>TEXT(Table2[[#This Row],[Date]],"mmm")</f>
        <v>Nov</v>
      </c>
      <c r="R150">
        <f>SUMIF(Table2[Product_Name],F152,Table2[[#All],[Quantity]])</f>
        <v>84</v>
      </c>
    </row>
    <row r="151" spans="1:18" ht="15.75" customHeight="1" x14ac:dyDescent="0.3">
      <c r="A151" s="5" t="s">
        <v>292</v>
      </c>
      <c r="B151" s="6">
        <v>45619</v>
      </c>
      <c r="C151" s="5" t="s">
        <v>194</v>
      </c>
      <c r="D151" s="5" t="s">
        <v>195</v>
      </c>
      <c r="E151" s="5" t="s">
        <v>33</v>
      </c>
      <c r="F151" s="5" t="s">
        <v>34</v>
      </c>
      <c r="G151" s="5" t="s">
        <v>35</v>
      </c>
      <c r="H151" s="5">
        <v>1</v>
      </c>
      <c r="I151" s="5">
        <v>59.99</v>
      </c>
      <c r="J151" s="5" t="s">
        <v>59</v>
      </c>
      <c r="K151" s="5" t="s">
        <v>52</v>
      </c>
      <c r="L151" s="5" t="s">
        <v>38</v>
      </c>
      <c r="M151" s="6">
        <v>44560</v>
      </c>
      <c r="N151" s="5">
        <v>59.99</v>
      </c>
      <c r="O151" s="5" t="str">
        <f>TEXT(Table2[[#This Row],[Date]],"mmm")</f>
        <v>Nov</v>
      </c>
      <c r="R151">
        <f>SUMIF(Table2[Product_Name],F153,Table2[[#All],[Quantity]])</f>
        <v>86</v>
      </c>
    </row>
    <row r="152" spans="1:18" ht="15.75" customHeight="1" x14ac:dyDescent="0.3">
      <c r="A152" s="5" t="s">
        <v>293</v>
      </c>
      <c r="B152" s="6">
        <v>45619</v>
      </c>
      <c r="C152" s="5" t="s">
        <v>156</v>
      </c>
      <c r="D152" s="5" t="s">
        <v>157</v>
      </c>
      <c r="E152" s="5" t="s">
        <v>82</v>
      </c>
      <c r="F152" s="5" t="s">
        <v>83</v>
      </c>
      <c r="G152" s="5" t="s">
        <v>21</v>
      </c>
      <c r="H152" s="5">
        <v>3</v>
      </c>
      <c r="I152" s="5">
        <v>699.99</v>
      </c>
      <c r="J152" s="5" t="s">
        <v>36</v>
      </c>
      <c r="K152" s="5" t="s">
        <v>52</v>
      </c>
      <c r="L152" s="5" t="s">
        <v>38</v>
      </c>
      <c r="M152" s="6">
        <v>44583</v>
      </c>
      <c r="N152" s="5">
        <v>2099.9699999999998</v>
      </c>
      <c r="O152" s="5" t="str">
        <f>TEXT(Table2[[#This Row],[Date]],"mmm")</f>
        <v>Nov</v>
      </c>
      <c r="R152">
        <f>SUMIF(Table2[Product_Name],F154,Table2[[#All],[Quantity]])</f>
        <v>108</v>
      </c>
    </row>
    <row r="153" spans="1:18" ht="15.75" customHeight="1" x14ac:dyDescent="0.3">
      <c r="A153" s="5" t="s">
        <v>294</v>
      </c>
      <c r="B153" s="6">
        <v>45622</v>
      </c>
      <c r="C153" s="5" t="s">
        <v>295</v>
      </c>
      <c r="D153" s="5" t="s">
        <v>296</v>
      </c>
      <c r="E153" s="5" t="s">
        <v>19</v>
      </c>
      <c r="F153" s="5" t="s">
        <v>20</v>
      </c>
      <c r="G153" s="5" t="s">
        <v>21</v>
      </c>
      <c r="H153" s="5">
        <v>5</v>
      </c>
      <c r="I153" s="5">
        <v>249.99</v>
      </c>
      <c r="J153" s="5" t="s">
        <v>28</v>
      </c>
      <c r="K153" s="5" t="s">
        <v>42</v>
      </c>
      <c r="L153" s="5" t="s">
        <v>24</v>
      </c>
      <c r="M153" s="6">
        <v>44873</v>
      </c>
      <c r="N153" s="5">
        <v>1249.95</v>
      </c>
      <c r="O153" s="5" t="str">
        <f>TEXT(Table2[[#This Row],[Date]],"mmm")</f>
        <v>Nov</v>
      </c>
      <c r="R153">
        <f>SUMIF(Table2[Product_Name],F155,Table2[[#All],[Quantity]])</f>
        <v>67</v>
      </c>
    </row>
    <row r="154" spans="1:18" ht="15.75" customHeight="1" x14ac:dyDescent="0.3">
      <c r="A154" s="5" t="s">
        <v>297</v>
      </c>
      <c r="B154" s="6">
        <v>45623</v>
      </c>
      <c r="C154" s="5" t="s">
        <v>114</v>
      </c>
      <c r="D154" s="5" t="s">
        <v>115</v>
      </c>
      <c r="E154" s="5" t="s">
        <v>46</v>
      </c>
      <c r="F154" s="5" t="s">
        <v>47</v>
      </c>
      <c r="G154" s="5" t="s">
        <v>48</v>
      </c>
      <c r="H154" s="5">
        <v>2</v>
      </c>
      <c r="I154" s="5">
        <v>149.99</v>
      </c>
      <c r="J154" s="5" t="s">
        <v>22</v>
      </c>
      <c r="K154" s="5" t="s">
        <v>37</v>
      </c>
      <c r="L154" s="5" t="s">
        <v>38</v>
      </c>
      <c r="M154" s="6">
        <v>45101</v>
      </c>
      <c r="N154" s="5">
        <v>299.98</v>
      </c>
      <c r="O154" s="5" t="str">
        <f>TEXT(Table2[[#This Row],[Date]],"mmm")</f>
        <v>Nov</v>
      </c>
      <c r="R154">
        <f>SUMIF(Table2[Product_Name],F156,Table2[[#All],[Quantity]])</f>
        <v>86</v>
      </c>
    </row>
    <row r="155" spans="1:18" ht="15.75" customHeight="1" x14ac:dyDescent="0.3">
      <c r="A155" s="5" t="s">
        <v>298</v>
      </c>
      <c r="B155" s="6">
        <v>45627</v>
      </c>
      <c r="C155" s="5" t="s">
        <v>31</v>
      </c>
      <c r="D155" s="5" t="s">
        <v>32</v>
      </c>
      <c r="E155" s="5" t="s">
        <v>107</v>
      </c>
      <c r="F155" s="5" t="s">
        <v>108</v>
      </c>
      <c r="G155" s="5" t="s">
        <v>48</v>
      </c>
      <c r="H155" s="5">
        <v>3</v>
      </c>
      <c r="I155" s="5">
        <v>299.99</v>
      </c>
      <c r="J155" s="5" t="s">
        <v>22</v>
      </c>
      <c r="K155" s="5" t="s">
        <v>37</v>
      </c>
      <c r="L155" s="5" t="s">
        <v>29</v>
      </c>
      <c r="M155" s="6">
        <v>44659</v>
      </c>
      <c r="N155" s="5">
        <v>899.97</v>
      </c>
      <c r="O155" s="5" t="str">
        <f>TEXT(Table2[[#This Row],[Date]],"mmm")</f>
        <v>Dec</v>
      </c>
      <c r="R155">
        <f>SUMIF(Table2[Product_Name],F157,Table2[[#All],[Quantity]])</f>
        <v>48</v>
      </c>
    </row>
    <row r="156" spans="1:18" ht="15.75" customHeight="1" x14ac:dyDescent="0.3">
      <c r="A156" s="5" t="s">
        <v>299</v>
      </c>
      <c r="B156" s="6">
        <v>45627</v>
      </c>
      <c r="C156" s="5" t="s">
        <v>57</v>
      </c>
      <c r="D156" s="5" t="s">
        <v>58</v>
      </c>
      <c r="E156" s="5" t="s">
        <v>19</v>
      </c>
      <c r="F156" s="5" t="s">
        <v>20</v>
      </c>
      <c r="G156" s="5" t="s">
        <v>21</v>
      </c>
      <c r="H156" s="5">
        <v>5</v>
      </c>
      <c r="I156" s="5">
        <v>249.99</v>
      </c>
      <c r="J156" s="5" t="s">
        <v>22</v>
      </c>
      <c r="K156" s="5" t="s">
        <v>23</v>
      </c>
      <c r="L156" s="5" t="s">
        <v>29</v>
      </c>
      <c r="M156" s="6">
        <v>44485</v>
      </c>
      <c r="N156" s="5">
        <v>1249.95</v>
      </c>
      <c r="O156" s="5" t="str">
        <f>TEXT(Table2[[#This Row],[Date]],"mmm")</f>
        <v>Dec</v>
      </c>
      <c r="R156">
        <f>SUMIF(Table2[Product_Name],F158,Table2[[#All],[Quantity]])</f>
        <v>84</v>
      </c>
    </row>
    <row r="157" spans="1:18" ht="15.75" customHeight="1" x14ac:dyDescent="0.3">
      <c r="A157" s="5" t="s">
        <v>300</v>
      </c>
      <c r="B157" s="6">
        <v>45627</v>
      </c>
      <c r="C157" s="5" t="s">
        <v>26</v>
      </c>
      <c r="D157" s="5" t="s">
        <v>27</v>
      </c>
      <c r="E157" s="5" t="s">
        <v>54</v>
      </c>
      <c r="F157" s="5" t="s">
        <v>55</v>
      </c>
      <c r="G157" s="5" t="s">
        <v>21</v>
      </c>
      <c r="H157" s="5">
        <v>2</v>
      </c>
      <c r="I157" s="5">
        <v>149.99</v>
      </c>
      <c r="J157" s="5" t="s">
        <v>22</v>
      </c>
      <c r="K157" s="5" t="s">
        <v>37</v>
      </c>
      <c r="L157" s="5" t="s">
        <v>29</v>
      </c>
      <c r="M157" s="6">
        <v>44475</v>
      </c>
      <c r="N157" s="5">
        <v>299.98</v>
      </c>
      <c r="O157" s="5" t="str">
        <f>TEXT(Table2[[#This Row],[Date]],"mmm")</f>
        <v>Dec</v>
      </c>
      <c r="R157">
        <f>SUMIF(Table2[Product_Name],F159,Table2[[#All],[Quantity]])</f>
        <v>86</v>
      </c>
    </row>
    <row r="158" spans="1:18" ht="15.75" customHeight="1" x14ac:dyDescent="0.3">
      <c r="A158" s="5" t="s">
        <v>301</v>
      </c>
      <c r="B158" s="6">
        <v>45627</v>
      </c>
      <c r="C158" s="5" t="s">
        <v>88</v>
      </c>
      <c r="D158" s="5" t="s">
        <v>89</v>
      </c>
      <c r="E158" s="5" t="s">
        <v>82</v>
      </c>
      <c r="F158" s="5" t="s">
        <v>83</v>
      </c>
      <c r="G158" s="5" t="s">
        <v>21</v>
      </c>
      <c r="H158" s="5">
        <v>5</v>
      </c>
      <c r="I158" s="5">
        <v>699.99</v>
      </c>
      <c r="J158" s="5" t="s">
        <v>59</v>
      </c>
      <c r="K158" s="5" t="s">
        <v>52</v>
      </c>
      <c r="L158" s="5" t="s">
        <v>38</v>
      </c>
      <c r="M158" s="6">
        <v>44944</v>
      </c>
      <c r="N158" s="5">
        <v>3499.95</v>
      </c>
      <c r="O158" s="5" t="str">
        <f>TEXT(Table2[[#This Row],[Date]],"mmm")</f>
        <v>Dec</v>
      </c>
      <c r="R158">
        <f>SUMIF(Table2[Product_Name],F160,Table2[[#All],[Quantity]])</f>
        <v>84</v>
      </c>
    </row>
    <row r="159" spans="1:18" ht="15.75" customHeight="1" x14ac:dyDescent="0.3">
      <c r="A159" s="5" t="s">
        <v>302</v>
      </c>
      <c r="B159" s="6">
        <v>45629</v>
      </c>
      <c r="C159" s="5" t="s">
        <v>254</v>
      </c>
      <c r="D159" s="5" t="s">
        <v>255</v>
      </c>
      <c r="E159" s="5" t="s">
        <v>19</v>
      </c>
      <c r="F159" s="5" t="s">
        <v>20</v>
      </c>
      <c r="G159" s="5" t="s">
        <v>21</v>
      </c>
      <c r="H159" s="5">
        <v>4</v>
      </c>
      <c r="I159" s="5">
        <v>249.99</v>
      </c>
      <c r="J159" s="5" t="s">
        <v>36</v>
      </c>
      <c r="K159" s="5" t="s">
        <v>65</v>
      </c>
      <c r="L159" s="5" t="s">
        <v>29</v>
      </c>
      <c r="M159" s="6">
        <v>45098</v>
      </c>
      <c r="N159" s="5">
        <v>999.96</v>
      </c>
      <c r="O159" s="5" t="str">
        <f>TEXT(Table2[[#This Row],[Date]],"mmm")</f>
        <v>Dec</v>
      </c>
      <c r="R159">
        <f>SUMIF(Table2[Product_Name],F161,Table2[[#All],[Quantity]])</f>
        <v>86</v>
      </c>
    </row>
    <row r="160" spans="1:18" ht="15.75" customHeight="1" x14ac:dyDescent="0.3">
      <c r="A160" s="5" t="s">
        <v>303</v>
      </c>
      <c r="B160" s="6">
        <v>45630</v>
      </c>
      <c r="C160" s="5" t="s">
        <v>50</v>
      </c>
      <c r="D160" s="5" t="s">
        <v>51</v>
      </c>
      <c r="E160" s="5" t="s">
        <v>82</v>
      </c>
      <c r="F160" s="5" t="s">
        <v>83</v>
      </c>
      <c r="G160" s="5" t="s">
        <v>21</v>
      </c>
      <c r="H160" s="5">
        <v>4</v>
      </c>
      <c r="I160" s="5">
        <v>699.99</v>
      </c>
      <c r="J160" s="5" t="s">
        <v>28</v>
      </c>
      <c r="K160" s="5" t="s">
        <v>42</v>
      </c>
      <c r="L160" s="5" t="s">
        <v>29</v>
      </c>
      <c r="M160" s="6">
        <v>44703</v>
      </c>
      <c r="N160" s="5">
        <v>2799.96</v>
      </c>
      <c r="O160" s="5" t="str">
        <f>TEXT(Table2[[#This Row],[Date]],"mmm")</f>
        <v>Dec</v>
      </c>
      <c r="R160">
        <f>SUMIF(Table2[Product_Name],F162,Table2[[#All],[Quantity]])</f>
        <v>98</v>
      </c>
    </row>
    <row r="161" spans="1:18" ht="15.75" customHeight="1" x14ac:dyDescent="0.3">
      <c r="A161" s="5" t="s">
        <v>304</v>
      </c>
      <c r="B161" s="6">
        <v>45635</v>
      </c>
      <c r="C161" s="5" t="s">
        <v>110</v>
      </c>
      <c r="D161" s="5" t="s">
        <v>111</v>
      </c>
      <c r="E161" s="5" t="s">
        <v>19</v>
      </c>
      <c r="F161" s="5" t="s">
        <v>20</v>
      </c>
      <c r="G161" s="5" t="s">
        <v>21</v>
      </c>
      <c r="H161" s="5">
        <v>2</v>
      </c>
      <c r="I161" s="5">
        <v>249.99</v>
      </c>
      <c r="J161" s="5" t="s">
        <v>28</v>
      </c>
      <c r="K161" s="5" t="s">
        <v>23</v>
      </c>
      <c r="L161" s="5" t="s">
        <v>29</v>
      </c>
      <c r="M161" s="6">
        <v>44396</v>
      </c>
      <c r="N161" s="5">
        <v>499.98</v>
      </c>
      <c r="O161" s="5" t="str">
        <f>TEXT(Table2[[#This Row],[Date]],"mmm")</f>
        <v>Dec</v>
      </c>
      <c r="R161">
        <f>SUMIF(Table2[Product_Name],F163,Table2[[#All],[Quantity]])</f>
        <v>50</v>
      </c>
    </row>
    <row r="162" spans="1:18" ht="15.75" customHeight="1" x14ac:dyDescent="0.3">
      <c r="A162" s="5" t="s">
        <v>305</v>
      </c>
      <c r="B162" s="6">
        <v>45635</v>
      </c>
      <c r="C162" s="5" t="s">
        <v>306</v>
      </c>
      <c r="D162" s="5" t="s">
        <v>307</v>
      </c>
      <c r="E162" s="5" t="s">
        <v>33</v>
      </c>
      <c r="F162" s="5" t="s">
        <v>34</v>
      </c>
      <c r="G162" s="5" t="s">
        <v>35</v>
      </c>
      <c r="H162" s="5">
        <v>3</v>
      </c>
      <c r="I162" s="5">
        <v>59.99</v>
      </c>
      <c r="J162" s="5" t="s">
        <v>22</v>
      </c>
      <c r="K162" s="5" t="s">
        <v>23</v>
      </c>
      <c r="L162" s="5" t="s">
        <v>29</v>
      </c>
      <c r="M162" s="6">
        <v>45052</v>
      </c>
      <c r="N162" s="5">
        <v>179.97</v>
      </c>
      <c r="O162" s="5" t="str">
        <f>TEXT(Table2[[#This Row],[Date]],"mmm")</f>
        <v>Dec</v>
      </c>
      <c r="R162">
        <f>SUMIF(Table2[Product_Name],F164,Table2[[#All],[Quantity]])</f>
        <v>50</v>
      </c>
    </row>
    <row r="163" spans="1:18" ht="15.75" customHeight="1" x14ac:dyDescent="0.3">
      <c r="A163" s="5" t="s">
        <v>308</v>
      </c>
      <c r="B163" s="6">
        <v>45635</v>
      </c>
      <c r="C163" s="5" t="s">
        <v>143</v>
      </c>
      <c r="D163" s="5" t="s">
        <v>144</v>
      </c>
      <c r="E163" s="5" t="s">
        <v>116</v>
      </c>
      <c r="F163" s="5" t="s">
        <v>117</v>
      </c>
      <c r="G163" s="5" t="s">
        <v>35</v>
      </c>
      <c r="H163" s="5">
        <v>4</v>
      </c>
      <c r="I163" s="5">
        <v>79.989999999999995</v>
      </c>
      <c r="J163" s="5" t="s">
        <v>59</v>
      </c>
      <c r="K163" s="5" t="s">
        <v>65</v>
      </c>
      <c r="L163" s="5" t="s">
        <v>38</v>
      </c>
      <c r="M163" s="6">
        <v>44921</v>
      </c>
      <c r="N163" s="5">
        <v>319.95999999999998</v>
      </c>
      <c r="O163" s="5" t="str">
        <f>TEXT(Table2[[#This Row],[Date]],"mmm")</f>
        <v>Dec</v>
      </c>
      <c r="R163">
        <f>SUMIF(Table2[Product_Name],F165,Table2[[#All],[Quantity]])</f>
        <v>67</v>
      </c>
    </row>
    <row r="164" spans="1:18" ht="15.75" customHeight="1" x14ac:dyDescent="0.3">
      <c r="A164" s="5" t="s">
        <v>309</v>
      </c>
      <c r="B164" s="6">
        <v>45636</v>
      </c>
      <c r="C164" s="5" t="s">
        <v>122</v>
      </c>
      <c r="D164" s="5" t="s">
        <v>123</v>
      </c>
      <c r="E164" s="5" t="s">
        <v>116</v>
      </c>
      <c r="F164" s="5" t="s">
        <v>117</v>
      </c>
      <c r="G164" s="5" t="s">
        <v>35</v>
      </c>
      <c r="H164" s="5">
        <v>3</v>
      </c>
      <c r="I164" s="5">
        <v>79.989999999999995</v>
      </c>
      <c r="J164" s="5" t="s">
        <v>59</v>
      </c>
      <c r="K164" s="5" t="s">
        <v>65</v>
      </c>
      <c r="L164" s="5" t="s">
        <v>38</v>
      </c>
      <c r="M164" s="6">
        <v>44779</v>
      </c>
      <c r="N164" s="5">
        <v>239.97</v>
      </c>
      <c r="O164" s="5" t="str">
        <f>TEXT(Table2[[#This Row],[Date]],"mmm")</f>
        <v>Dec</v>
      </c>
      <c r="R164">
        <f>SUMIF(Table2[Product_Name],F166,Table2[[#All],[Quantity]])</f>
        <v>108</v>
      </c>
    </row>
    <row r="165" spans="1:18" ht="15.75" customHeight="1" x14ac:dyDescent="0.3">
      <c r="A165" s="5" t="s">
        <v>310</v>
      </c>
      <c r="B165" s="6">
        <v>45638</v>
      </c>
      <c r="C165" s="5" t="s">
        <v>74</v>
      </c>
      <c r="D165" s="5" t="s">
        <v>75</v>
      </c>
      <c r="E165" s="5" t="s">
        <v>63</v>
      </c>
      <c r="F165" s="5" t="s">
        <v>64</v>
      </c>
      <c r="G165" s="5" t="s">
        <v>21</v>
      </c>
      <c r="H165" s="5">
        <v>2</v>
      </c>
      <c r="I165" s="5">
        <v>899.99</v>
      </c>
      <c r="J165" s="5" t="s">
        <v>22</v>
      </c>
      <c r="K165" s="5" t="s">
        <v>42</v>
      </c>
      <c r="L165" s="5" t="s">
        <v>24</v>
      </c>
      <c r="M165" s="6">
        <v>44406</v>
      </c>
      <c r="N165" s="5">
        <v>1799.98</v>
      </c>
      <c r="O165" s="5" t="str">
        <f>TEXT(Table2[[#This Row],[Date]],"mmm")</f>
        <v>Dec</v>
      </c>
      <c r="R165">
        <f>SUMIF(Table2[Product_Name],F167,Table2[[#All],[Quantity]])</f>
        <v>67</v>
      </c>
    </row>
    <row r="166" spans="1:18" ht="15.75" customHeight="1" x14ac:dyDescent="0.3">
      <c r="A166" s="5" t="s">
        <v>311</v>
      </c>
      <c r="B166" s="6">
        <v>45641</v>
      </c>
      <c r="C166" s="5" t="s">
        <v>184</v>
      </c>
      <c r="D166" s="5" t="s">
        <v>185</v>
      </c>
      <c r="E166" s="5" t="s">
        <v>46</v>
      </c>
      <c r="F166" s="5" t="s">
        <v>47</v>
      </c>
      <c r="G166" s="5" t="s">
        <v>48</v>
      </c>
      <c r="H166" s="5">
        <v>1</v>
      </c>
      <c r="I166" s="5">
        <v>149.99</v>
      </c>
      <c r="J166" s="5" t="s">
        <v>59</v>
      </c>
      <c r="K166" s="5" t="s">
        <v>65</v>
      </c>
      <c r="L166" s="5" t="s">
        <v>38</v>
      </c>
      <c r="M166" s="6">
        <v>45200</v>
      </c>
      <c r="N166" s="5">
        <v>149.99</v>
      </c>
      <c r="O166" s="5" t="str">
        <f>TEXT(Table2[[#This Row],[Date]],"mmm")</f>
        <v>Dec</v>
      </c>
      <c r="R166">
        <f>SUMIF(Table2[Product_Name],F168,Table2[[#All],[Quantity]])</f>
        <v>98</v>
      </c>
    </row>
    <row r="167" spans="1:18" ht="15.75" customHeight="1" x14ac:dyDescent="0.3">
      <c r="A167" s="5" t="s">
        <v>312</v>
      </c>
      <c r="B167" s="6">
        <v>45641</v>
      </c>
      <c r="C167" s="5" t="s">
        <v>140</v>
      </c>
      <c r="D167" s="5" t="s">
        <v>141</v>
      </c>
      <c r="E167" s="5" t="s">
        <v>107</v>
      </c>
      <c r="F167" s="5" t="s">
        <v>108</v>
      </c>
      <c r="G167" s="5" t="s">
        <v>48</v>
      </c>
      <c r="H167" s="5">
        <v>2</v>
      </c>
      <c r="I167" s="5">
        <v>299.99</v>
      </c>
      <c r="J167" s="5" t="s">
        <v>22</v>
      </c>
      <c r="K167" s="5" t="s">
        <v>65</v>
      </c>
      <c r="L167" s="5" t="s">
        <v>29</v>
      </c>
      <c r="M167" s="6">
        <v>44724</v>
      </c>
      <c r="N167" s="5">
        <v>599.98</v>
      </c>
      <c r="O167" s="5" t="str">
        <f>TEXT(Table2[[#This Row],[Date]],"mmm")</f>
        <v>Dec</v>
      </c>
      <c r="R167">
        <f>SUMIF(Table2[Product_Name],F169,Table2[[#All],[Quantity]])</f>
        <v>99</v>
      </c>
    </row>
    <row r="168" spans="1:18" ht="15.75" customHeight="1" x14ac:dyDescent="0.3">
      <c r="A168" s="5" t="s">
        <v>313</v>
      </c>
      <c r="B168" s="6">
        <v>45644</v>
      </c>
      <c r="C168" s="5" t="s">
        <v>134</v>
      </c>
      <c r="D168" s="5" t="s">
        <v>135</v>
      </c>
      <c r="E168" s="5" t="s">
        <v>33</v>
      </c>
      <c r="F168" s="5" t="s">
        <v>34</v>
      </c>
      <c r="G168" s="5" t="s">
        <v>35</v>
      </c>
      <c r="H168" s="5">
        <v>2</v>
      </c>
      <c r="I168" s="5">
        <v>59.99</v>
      </c>
      <c r="J168" s="5" t="s">
        <v>22</v>
      </c>
      <c r="K168" s="5" t="s">
        <v>52</v>
      </c>
      <c r="L168" s="5" t="s">
        <v>24</v>
      </c>
      <c r="M168" s="6">
        <v>45191</v>
      </c>
      <c r="N168" s="5">
        <v>119.98</v>
      </c>
      <c r="O168" s="5" t="str">
        <f>TEXT(Table2[[#This Row],[Date]],"mmm")</f>
        <v>Dec</v>
      </c>
      <c r="R168">
        <f>SUMIF(Table2[Product_Name],F170,Table2[[#All],[Quantity]])</f>
        <v>67</v>
      </c>
    </row>
    <row r="169" spans="1:18" ht="15.75" customHeight="1" x14ac:dyDescent="0.3">
      <c r="A169" s="5" t="s">
        <v>314</v>
      </c>
      <c r="B169" s="6">
        <v>45645</v>
      </c>
      <c r="C169" s="5" t="s">
        <v>184</v>
      </c>
      <c r="D169" s="5" t="s">
        <v>185</v>
      </c>
      <c r="E169" s="5" t="s">
        <v>119</v>
      </c>
      <c r="F169" s="5" t="s">
        <v>120</v>
      </c>
      <c r="G169" s="5" t="s">
        <v>21</v>
      </c>
      <c r="H169" s="5">
        <v>1</v>
      </c>
      <c r="I169" s="5">
        <v>89.99</v>
      </c>
      <c r="J169" s="5" t="s">
        <v>59</v>
      </c>
      <c r="K169" s="5" t="s">
        <v>23</v>
      </c>
      <c r="L169" s="5" t="s">
        <v>38</v>
      </c>
      <c r="M169" s="6">
        <v>44760</v>
      </c>
      <c r="N169" s="5">
        <v>89.99</v>
      </c>
      <c r="O169" s="5" t="str">
        <f>TEXT(Table2[[#This Row],[Date]],"mmm")</f>
        <v>Dec</v>
      </c>
      <c r="R169">
        <f>SUMIF(Table2[Product_Name],F171,Table2[[#All],[Quantity]])</f>
        <v>108</v>
      </c>
    </row>
    <row r="170" spans="1:18" ht="15.75" customHeight="1" x14ac:dyDescent="0.3">
      <c r="A170" s="5" t="s">
        <v>315</v>
      </c>
      <c r="B170" s="6">
        <v>45645</v>
      </c>
      <c r="C170" s="5" t="s">
        <v>149</v>
      </c>
      <c r="D170" s="5" t="s">
        <v>150</v>
      </c>
      <c r="E170" s="5" t="s">
        <v>63</v>
      </c>
      <c r="F170" s="5" t="s">
        <v>64</v>
      </c>
      <c r="G170" s="5" t="s">
        <v>21</v>
      </c>
      <c r="H170" s="5">
        <v>5</v>
      </c>
      <c r="I170" s="5">
        <v>899.99</v>
      </c>
      <c r="J170" s="5" t="s">
        <v>59</v>
      </c>
      <c r="K170" s="5" t="s">
        <v>65</v>
      </c>
      <c r="L170" s="5" t="s">
        <v>38</v>
      </c>
      <c r="M170" s="6">
        <v>44625</v>
      </c>
      <c r="N170" s="5">
        <v>4499.95</v>
      </c>
      <c r="O170" s="5" t="str">
        <f>TEXT(Table2[[#This Row],[Date]],"mmm")</f>
        <v>Dec</v>
      </c>
      <c r="R170">
        <f>SUMIF(Table2[Product_Name],F172,Table2[[#All],[Quantity]])</f>
        <v>48</v>
      </c>
    </row>
    <row r="171" spans="1:18" ht="15.75" customHeight="1" x14ac:dyDescent="0.3">
      <c r="A171" s="5" t="s">
        <v>316</v>
      </c>
      <c r="B171" s="6">
        <v>45646</v>
      </c>
      <c r="C171" s="5" t="s">
        <v>44</v>
      </c>
      <c r="D171" s="5" t="s">
        <v>45</v>
      </c>
      <c r="E171" s="5" t="s">
        <v>46</v>
      </c>
      <c r="F171" s="5" t="s">
        <v>47</v>
      </c>
      <c r="G171" s="5" t="s">
        <v>48</v>
      </c>
      <c r="H171" s="5">
        <v>2</v>
      </c>
      <c r="I171" s="5">
        <v>149.99</v>
      </c>
      <c r="J171" s="5" t="s">
        <v>22</v>
      </c>
      <c r="K171" s="5" t="s">
        <v>37</v>
      </c>
      <c r="L171" s="5" t="s">
        <v>24</v>
      </c>
      <c r="M171" s="6">
        <v>45239</v>
      </c>
      <c r="N171" s="5">
        <v>299.98</v>
      </c>
      <c r="O171" s="5" t="str">
        <f>TEXT(Table2[[#This Row],[Date]],"mmm")</f>
        <v>Dec</v>
      </c>
      <c r="R171">
        <f>SUMIF(Table2[Product_Name],F173,Table2[[#All],[Quantity]])</f>
        <v>108</v>
      </c>
    </row>
    <row r="172" spans="1:18" ht="15.75" customHeight="1" x14ac:dyDescent="0.3">
      <c r="A172" s="5" t="s">
        <v>317</v>
      </c>
      <c r="B172" s="6">
        <v>45648</v>
      </c>
      <c r="C172" s="5" t="s">
        <v>114</v>
      </c>
      <c r="D172" s="5" t="s">
        <v>115</v>
      </c>
      <c r="E172" s="5" t="s">
        <v>54</v>
      </c>
      <c r="F172" s="5" t="s">
        <v>55</v>
      </c>
      <c r="G172" s="5" t="s">
        <v>21</v>
      </c>
      <c r="H172" s="5">
        <v>2</v>
      </c>
      <c r="I172" s="5">
        <v>149.99</v>
      </c>
      <c r="J172" s="5" t="s">
        <v>59</v>
      </c>
      <c r="K172" s="5" t="s">
        <v>52</v>
      </c>
      <c r="L172" s="5" t="s">
        <v>29</v>
      </c>
      <c r="M172" s="6">
        <v>45280</v>
      </c>
      <c r="N172" s="5">
        <v>299.98</v>
      </c>
      <c r="O172" s="5" t="str">
        <f>TEXT(Table2[[#This Row],[Date]],"mmm")</f>
        <v>Dec</v>
      </c>
      <c r="R172">
        <f>SUMIF(Table2[Product_Name],F174,Table2[[#All],[Quantity]])</f>
        <v>67</v>
      </c>
    </row>
    <row r="173" spans="1:18" ht="15.75" customHeight="1" x14ac:dyDescent="0.3">
      <c r="A173" s="5" t="s">
        <v>318</v>
      </c>
      <c r="B173" s="6">
        <v>45648</v>
      </c>
      <c r="C173" s="5" t="s">
        <v>184</v>
      </c>
      <c r="D173" s="5" t="s">
        <v>185</v>
      </c>
      <c r="E173" s="5" t="s">
        <v>46</v>
      </c>
      <c r="F173" s="5" t="s">
        <v>47</v>
      </c>
      <c r="G173" s="5" t="s">
        <v>48</v>
      </c>
      <c r="H173" s="5">
        <v>3</v>
      </c>
      <c r="I173" s="5">
        <v>149.99</v>
      </c>
      <c r="J173" s="5" t="s">
        <v>59</v>
      </c>
      <c r="K173" s="5" t="s">
        <v>42</v>
      </c>
      <c r="L173" s="5" t="s">
        <v>38</v>
      </c>
      <c r="M173" s="6">
        <v>44522</v>
      </c>
      <c r="N173" s="5">
        <v>449.97</v>
      </c>
      <c r="O173" s="5" t="str">
        <f>TEXT(Table2[[#This Row],[Date]],"mmm")</f>
        <v>Dec</v>
      </c>
      <c r="R173">
        <f>SUMIF(Table2[Product_Name],F175,Table2[[#All],[Quantity]])</f>
        <v>67</v>
      </c>
    </row>
    <row r="174" spans="1:18" ht="15.75" customHeight="1" x14ac:dyDescent="0.3">
      <c r="A174" s="5" t="s">
        <v>319</v>
      </c>
      <c r="B174" s="6">
        <v>45649</v>
      </c>
      <c r="C174" s="5" t="s">
        <v>31</v>
      </c>
      <c r="D174" s="5" t="s">
        <v>32</v>
      </c>
      <c r="E174" s="5" t="s">
        <v>107</v>
      </c>
      <c r="F174" s="5" t="s">
        <v>108</v>
      </c>
      <c r="G174" s="5" t="s">
        <v>48</v>
      </c>
      <c r="H174" s="5">
        <v>2</v>
      </c>
      <c r="I174" s="5">
        <v>299.99</v>
      </c>
      <c r="J174" s="5" t="s">
        <v>36</v>
      </c>
      <c r="K174" s="5" t="s">
        <v>37</v>
      </c>
      <c r="L174" s="5" t="s">
        <v>24</v>
      </c>
      <c r="M174" s="6">
        <v>44721</v>
      </c>
      <c r="N174" s="5">
        <v>599.98</v>
      </c>
      <c r="O174" s="5" t="str">
        <f>TEXT(Table2[[#This Row],[Date]],"mmm")</f>
        <v>Dec</v>
      </c>
      <c r="R174">
        <f>SUMIF(Table2[Product_Name],F176,Table2[[#All],[Quantity]])</f>
        <v>43</v>
      </c>
    </row>
    <row r="175" spans="1:18" ht="15.75" customHeight="1" x14ac:dyDescent="0.3">
      <c r="A175" s="5" t="s">
        <v>320</v>
      </c>
      <c r="B175" s="6">
        <v>45654</v>
      </c>
      <c r="C175" s="5" t="s">
        <v>44</v>
      </c>
      <c r="D175" s="5" t="s">
        <v>45</v>
      </c>
      <c r="E175" s="5" t="s">
        <v>107</v>
      </c>
      <c r="F175" s="5" t="s">
        <v>108</v>
      </c>
      <c r="G175" s="5" t="s">
        <v>48</v>
      </c>
      <c r="H175" s="5">
        <v>2</v>
      </c>
      <c r="I175" s="5">
        <v>299.99</v>
      </c>
      <c r="J175" s="5" t="s">
        <v>22</v>
      </c>
      <c r="K175" s="5" t="s">
        <v>52</v>
      </c>
      <c r="L175" s="5" t="s">
        <v>24</v>
      </c>
      <c r="M175" s="6">
        <v>44771</v>
      </c>
      <c r="N175" s="5">
        <v>599.98</v>
      </c>
      <c r="O175" s="5" t="str">
        <f>TEXT(Table2[[#This Row],[Date]],"mmm")</f>
        <v>Dec</v>
      </c>
      <c r="R175">
        <f>SUMIF(Table2[Product_Name],F177,Table2[[#All],[Quantity]])</f>
        <v>99</v>
      </c>
    </row>
    <row r="176" spans="1:18" ht="15.75" customHeight="1" x14ac:dyDescent="0.3">
      <c r="A176" s="5" t="s">
        <v>321</v>
      </c>
      <c r="B176" s="6">
        <v>45654</v>
      </c>
      <c r="C176" s="5" t="s">
        <v>122</v>
      </c>
      <c r="D176" s="5" t="s">
        <v>123</v>
      </c>
      <c r="E176" s="5" t="s">
        <v>128</v>
      </c>
      <c r="F176" s="5" t="s">
        <v>129</v>
      </c>
      <c r="G176" s="5" t="s">
        <v>48</v>
      </c>
      <c r="H176" s="5">
        <v>4</v>
      </c>
      <c r="I176" s="5">
        <v>199.99</v>
      </c>
      <c r="J176" s="5" t="s">
        <v>28</v>
      </c>
      <c r="K176" s="5" t="s">
        <v>23</v>
      </c>
      <c r="L176" s="5" t="s">
        <v>24</v>
      </c>
      <c r="M176" s="6">
        <v>44523</v>
      </c>
      <c r="N176" s="5">
        <v>799.96</v>
      </c>
      <c r="O176" s="5" t="str">
        <f>TEXT(Table2[[#This Row],[Date]],"mmm")</f>
        <v>Dec</v>
      </c>
      <c r="R176">
        <f>SUMIF(Table2[Product_Name],F178,Table2[[#All],[Quantity]])</f>
        <v>108</v>
      </c>
    </row>
    <row r="177" spans="1:18" ht="15.75" customHeight="1" x14ac:dyDescent="0.3">
      <c r="A177" s="5" t="s">
        <v>322</v>
      </c>
      <c r="B177" s="6">
        <v>45655</v>
      </c>
      <c r="C177" s="5" t="s">
        <v>61</v>
      </c>
      <c r="D177" s="5" t="s">
        <v>62</v>
      </c>
      <c r="E177" s="5" t="s">
        <v>119</v>
      </c>
      <c r="F177" s="5" t="s">
        <v>120</v>
      </c>
      <c r="G177" s="5" t="s">
        <v>21</v>
      </c>
      <c r="H177" s="5">
        <v>1</v>
      </c>
      <c r="I177" s="5">
        <v>89.99</v>
      </c>
      <c r="J177" s="5" t="s">
        <v>28</v>
      </c>
      <c r="K177" s="5" t="s">
        <v>37</v>
      </c>
      <c r="L177" s="5" t="s">
        <v>29</v>
      </c>
      <c r="M177" s="6">
        <v>44591</v>
      </c>
      <c r="N177" s="5">
        <v>89.99</v>
      </c>
      <c r="O177" s="5" t="str">
        <f>TEXT(Table2[[#This Row],[Date]],"mmm")</f>
        <v>Dec</v>
      </c>
      <c r="R177">
        <f>SUMIF(Table2[Product_Name],F179,Table2[[#All],[Quantity]])</f>
        <v>67</v>
      </c>
    </row>
    <row r="178" spans="1:18" ht="15.75" customHeight="1" x14ac:dyDescent="0.3">
      <c r="A178" s="5" t="s">
        <v>323</v>
      </c>
      <c r="B178" s="6">
        <v>45655</v>
      </c>
      <c r="C178" s="5" t="s">
        <v>110</v>
      </c>
      <c r="D178" s="5" t="s">
        <v>111</v>
      </c>
      <c r="E178" s="5" t="s">
        <v>46</v>
      </c>
      <c r="F178" s="5" t="s">
        <v>47</v>
      </c>
      <c r="G178" s="5" t="s">
        <v>48</v>
      </c>
      <c r="H178" s="5">
        <v>5</v>
      </c>
      <c r="I178" s="5">
        <v>149.99</v>
      </c>
      <c r="J178" s="5" t="s">
        <v>22</v>
      </c>
      <c r="K178" s="5" t="s">
        <v>23</v>
      </c>
      <c r="L178" s="5" t="s">
        <v>29</v>
      </c>
      <c r="M178" s="6">
        <v>45347</v>
      </c>
      <c r="N178" s="5">
        <v>749.95</v>
      </c>
      <c r="O178" s="5" t="str">
        <f>TEXT(Table2[[#This Row],[Date]],"mmm")</f>
        <v>Dec</v>
      </c>
      <c r="R178">
        <f>SUMIF(Table2[Product_Name],F180,Table2[[#All],[Quantity]])</f>
        <v>99</v>
      </c>
    </row>
    <row r="179" spans="1:18" ht="15.75" customHeight="1" x14ac:dyDescent="0.3">
      <c r="A179" s="5" t="s">
        <v>324</v>
      </c>
      <c r="B179" s="6">
        <v>45657</v>
      </c>
      <c r="C179" s="5" t="s">
        <v>88</v>
      </c>
      <c r="D179" s="5" t="s">
        <v>89</v>
      </c>
      <c r="E179" s="5" t="s">
        <v>63</v>
      </c>
      <c r="F179" s="5" t="s">
        <v>64</v>
      </c>
      <c r="G179" s="5" t="s">
        <v>21</v>
      </c>
      <c r="H179" s="5">
        <v>1</v>
      </c>
      <c r="I179" s="5">
        <v>899.99</v>
      </c>
      <c r="J179" s="5" t="s">
        <v>36</v>
      </c>
      <c r="K179" s="5" t="s">
        <v>42</v>
      </c>
      <c r="L179" s="5" t="s">
        <v>29</v>
      </c>
      <c r="M179" s="6">
        <v>45050</v>
      </c>
      <c r="N179" s="5">
        <v>899.99</v>
      </c>
      <c r="O179" s="5" t="str">
        <f>TEXT(Table2[[#This Row],[Date]],"mmm")</f>
        <v>Dec</v>
      </c>
      <c r="R179">
        <f>SUMIF(Table2[Product_Name],F181,Table2[[#All],[Quantity]])</f>
        <v>67</v>
      </c>
    </row>
    <row r="180" spans="1:18" ht="15.75" customHeight="1" x14ac:dyDescent="0.3">
      <c r="A180" s="5" t="s">
        <v>325</v>
      </c>
      <c r="B180" s="6">
        <v>45660</v>
      </c>
      <c r="C180" s="5" t="s">
        <v>149</v>
      </c>
      <c r="D180" s="5" t="s">
        <v>150</v>
      </c>
      <c r="E180" s="5" t="s">
        <v>119</v>
      </c>
      <c r="F180" s="5" t="s">
        <v>120</v>
      </c>
      <c r="G180" s="5" t="s">
        <v>21</v>
      </c>
      <c r="H180" s="5">
        <v>2</v>
      </c>
      <c r="I180" s="5">
        <v>89.99</v>
      </c>
      <c r="J180" s="5" t="s">
        <v>28</v>
      </c>
      <c r="K180" s="5" t="s">
        <v>37</v>
      </c>
      <c r="L180" s="5" t="s">
        <v>29</v>
      </c>
      <c r="M180" s="6">
        <v>44564</v>
      </c>
      <c r="N180" s="5">
        <v>179.98</v>
      </c>
      <c r="O180" s="5" t="str">
        <f>TEXT(Table2[[#This Row],[Date]],"mmm")</f>
        <v>Jan</v>
      </c>
      <c r="R180">
        <f>SUMIF(Table2[Product_Name],F182,Table2[[#All],[Quantity]])</f>
        <v>48</v>
      </c>
    </row>
    <row r="181" spans="1:18" ht="15.75" customHeight="1" x14ac:dyDescent="0.3">
      <c r="A181" s="5" t="s">
        <v>326</v>
      </c>
      <c r="B181" s="6">
        <v>45661</v>
      </c>
      <c r="C181" s="5" t="s">
        <v>327</v>
      </c>
      <c r="D181" s="5" t="s">
        <v>328</v>
      </c>
      <c r="E181" s="5" t="s">
        <v>63</v>
      </c>
      <c r="F181" s="5" t="s">
        <v>64</v>
      </c>
      <c r="G181" s="5" t="s">
        <v>21</v>
      </c>
      <c r="H181" s="5">
        <v>1</v>
      </c>
      <c r="I181" s="5">
        <v>899.99</v>
      </c>
      <c r="J181" s="5" t="s">
        <v>36</v>
      </c>
      <c r="K181" s="5" t="s">
        <v>42</v>
      </c>
      <c r="L181" s="5" t="s">
        <v>38</v>
      </c>
      <c r="M181" s="6">
        <v>44752</v>
      </c>
      <c r="N181" s="5">
        <v>899.99</v>
      </c>
      <c r="O181" s="5" t="str">
        <f>TEXT(Table2[[#This Row],[Date]],"mmm")</f>
        <v>Jan</v>
      </c>
      <c r="R181">
        <f>SUMIF(Table2[Product_Name],F183,Table2[[#All],[Quantity]])</f>
        <v>67</v>
      </c>
    </row>
    <row r="182" spans="1:18" ht="15.75" customHeight="1" x14ac:dyDescent="0.3">
      <c r="A182" s="5" t="s">
        <v>329</v>
      </c>
      <c r="B182" s="6">
        <v>45663</v>
      </c>
      <c r="C182" s="5" t="s">
        <v>131</v>
      </c>
      <c r="D182" s="5" t="s">
        <v>132</v>
      </c>
      <c r="E182" s="5" t="s">
        <v>54</v>
      </c>
      <c r="F182" s="5" t="s">
        <v>55</v>
      </c>
      <c r="G182" s="5" t="s">
        <v>21</v>
      </c>
      <c r="H182" s="5">
        <v>5</v>
      </c>
      <c r="I182" s="5">
        <v>149.99</v>
      </c>
      <c r="J182" s="5" t="s">
        <v>36</v>
      </c>
      <c r="K182" s="5" t="s">
        <v>65</v>
      </c>
      <c r="L182" s="5" t="s">
        <v>29</v>
      </c>
      <c r="M182" s="6">
        <v>44824</v>
      </c>
      <c r="N182" s="5">
        <v>749.95</v>
      </c>
      <c r="O182" s="5" t="str">
        <f>TEXT(Table2[[#This Row],[Date]],"mmm")</f>
        <v>Jan</v>
      </c>
      <c r="R182">
        <f>SUMIF(Table2[Product_Name],F184,Table2[[#All],[Quantity]])</f>
        <v>84</v>
      </c>
    </row>
    <row r="183" spans="1:18" ht="15.75" customHeight="1" x14ac:dyDescent="0.3">
      <c r="A183" s="5" t="s">
        <v>330</v>
      </c>
      <c r="B183" s="6">
        <v>45663</v>
      </c>
      <c r="C183" s="5" t="s">
        <v>44</v>
      </c>
      <c r="D183" s="5" t="s">
        <v>45</v>
      </c>
      <c r="E183" s="5" t="s">
        <v>107</v>
      </c>
      <c r="F183" s="5" t="s">
        <v>108</v>
      </c>
      <c r="G183" s="5" t="s">
        <v>48</v>
      </c>
      <c r="H183" s="5">
        <v>3</v>
      </c>
      <c r="I183" s="5">
        <v>299.99</v>
      </c>
      <c r="J183" s="5" t="s">
        <v>22</v>
      </c>
      <c r="K183" s="5" t="s">
        <v>37</v>
      </c>
      <c r="L183" s="5" t="s">
        <v>38</v>
      </c>
      <c r="M183" s="6">
        <v>44422</v>
      </c>
      <c r="N183" s="5">
        <v>899.97</v>
      </c>
      <c r="O183" s="5" t="str">
        <f>TEXT(Table2[[#This Row],[Date]],"mmm")</f>
        <v>Jan</v>
      </c>
      <c r="R183">
        <f>SUMIF(Table2[Product_Name],F185,Table2[[#All],[Quantity]])</f>
        <v>43</v>
      </c>
    </row>
    <row r="184" spans="1:18" ht="15.75" customHeight="1" x14ac:dyDescent="0.3">
      <c r="A184" s="5" t="s">
        <v>331</v>
      </c>
      <c r="B184" s="6">
        <v>45666</v>
      </c>
      <c r="C184" s="5" t="s">
        <v>67</v>
      </c>
      <c r="D184" s="5" t="s">
        <v>68</v>
      </c>
      <c r="E184" s="5" t="s">
        <v>82</v>
      </c>
      <c r="F184" s="5" t="s">
        <v>83</v>
      </c>
      <c r="G184" s="5" t="s">
        <v>21</v>
      </c>
      <c r="H184" s="5">
        <v>3</v>
      </c>
      <c r="I184" s="5">
        <v>699.99</v>
      </c>
      <c r="J184" s="5" t="s">
        <v>28</v>
      </c>
      <c r="K184" s="5" t="s">
        <v>23</v>
      </c>
      <c r="L184" s="5" t="s">
        <v>29</v>
      </c>
      <c r="M184" s="6">
        <v>45105</v>
      </c>
      <c r="N184" s="5">
        <v>2099.9699999999998</v>
      </c>
      <c r="O184" s="5" t="str">
        <f>TEXT(Table2[[#This Row],[Date]],"mmm")</f>
        <v>Jan</v>
      </c>
      <c r="R184">
        <f>SUMIF(Table2[Product_Name],F186,Table2[[#All],[Quantity]])</f>
        <v>86</v>
      </c>
    </row>
    <row r="185" spans="1:18" ht="15.75" customHeight="1" x14ac:dyDescent="0.3">
      <c r="A185" s="5" t="s">
        <v>332</v>
      </c>
      <c r="B185" s="6">
        <v>45667</v>
      </c>
      <c r="C185" s="5" t="s">
        <v>110</v>
      </c>
      <c r="D185" s="5" t="s">
        <v>111</v>
      </c>
      <c r="E185" s="5" t="s">
        <v>128</v>
      </c>
      <c r="F185" s="5" t="s">
        <v>129</v>
      </c>
      <c r="G185" s="5" t="s">
        <v>48</v>
      </c>
      <c r="H185" s="5">
        <v>5</v>
      </c>
      <c r="I185" s="5">
        <v>199.99</v>
      </c>
      <c r="J185" s="5" t="s">
        <v>36</v>
      </c>
      <c r="K185" s="5" t="s">
        <v>23</v>
      </c>
      <c r="L185" s="5" t="s">
        <v>38</v>
      </c>
      <c r="M185" s="6">
        <v>44633</v>
      </c>
      <c r="N185" s="5">
        <v>999.95</v>
      </c>
      <c r="O185" s="5" t="str">
        <f>TEXT(Table2[[#This Row],[Date]],"mmm")</f>
        <v>Jan</v>
      </c>
      <c r="R185">
        <f>SUMIF(Table2[Product_Name],F187,Table2[[#All],[Quantity]])</f>
        <v>48</v>
      </c>
    </row>
    <row r="186" spans="1:18" ht="15.75" customHeight="1" x14ac:dyDescent="0.3">
      <c r="A186" s="5" t="s">
        <v>333</v>
      </c>
      <c r="B186" s="6">
        <v>45667</v>
      </c>
      <c r="C186" s="5" t="s">
        <v>95</v>
      </c>
      <c r="D186" s="5" t="s">
        <v>96</v>
      </c>
      <c r="E186" s="5" t="s">
        <v>19</v>
      </c>
      <c r="F186" s="5" t="s">
        <v>20</v>
      </c>
      <c r="G186" s="5" t="s">
        <v>21</v>
      </c>
      <c r="H186" s="5">
        <v>5</v>
      </c>
      <c r="I186" s="5">
        <v>249.99</v>
      </c>
      <c r="J186" s="5" t="s">
        <v>28</v>
      </c>
      <c r="K186" s="5" t="s">
        <v>37</v>
      </c>
      <c r="L186" s="5" t="s">
        <v>24</v>
      </c>
      <c r="M186" s="6">
        <v>45330</v>
      </c>
      <c r="N186" s="5">
        <v>1249.95</v>
      </c>
      <c r="O186" s="5" t="str">
        <f>TEXT(Table2[[#This Row],[Date]],"mmm")</f>
        <v>Jan</v>
      </c>
      <c r="R186">
        <f>SUMIF(Table2[Product_Name],F188,Table2[[#All],[Quantity]])</f>
        <v>84</v>
      </c>
    </row>
    <row r="187" spans="1:18" ht="15.75" customHeight="1" x14ac:dyDescent="0.3">
      <c r="A187" s="5" t="s">
        <v>334</v>
      </c>
      <c r="B187" s="6">
        <v>45668</v>
      </c>
      <c r="C187" s="5" t="s">
        <v>140</v>
      </c>
      <c r="D187" s="5" t="s">
        <v>141</v>
      </c>
      <c r="E187" s="5" t="s">
        <v>54</v>
      </c>
      <c r="F187" s="5" t="s">
        <v>55</v>
      </c>
      <c r="G187" s="5" t="s">
        <v>21</v>
      </c>
      <c r="H187" s="5">
        <v>4</v>
      </c>
      <c r="I187" s="5">
        <v>149.99</v>
      </c>
      <c r="J187" s="5" t="s">
        <v>59</v>
      </c>
      <c r="K187" s="5" t="s">
        <v>65</v>
      </c>
      <c r="L187" s="5" t="s">
        <v>38</v>
      </c>
      <c r="M187" s="6">
        <v>44536</v>
      </c>
      <c r="N187" s="5">
        <v>599.96</v>
      </c>
      <c r="O187" s="5" t="str">
        <f>TEXT(Table2[[#This Row],[Date]],"mmm")</f>
        <v>Jan</v>
      </c>
      <c r="R187">
        <f>SUMIF(Table2[Product_Name],F189,Table2[[#All],[Quantity]])</f>
        <v>50</v>
      </c>
    </row>
    <row r="188" spans="1:18" ht="15.75" customHeight="1" x14ac:dyDescent="0.3">
      <c r="A188" s="5" t="s">
        <v>335</v>
      </c>
      <c r="B188" s="6">
        <v>45668</v>
      </c>
      <c r="C188" s="5" t="s">
        <v>80</v>
      </c>
      <c r="D188" s="5" t="s">
        <v>81</v>
      </c>
      <c r="E188" s="5" t="s">
        <v>82</v>
      </c>
      <c r="F188" s="5" t="s">
        <v>83</v>
      </c>
      <c r="G188" s="5" t="s">
        <v>21</v>
      </c>
      <c r="H188" s="5">
        <v>3</v>
      </c>
      <c r="I188" s="5">
        <v>699.99</v>
      </c>
      <c r="J188" s="5" t="s">
        <v>22</v>
      </c>
      <c r="K188" s="5" t="s">
        <v>42</v>
      </c>
      <c r="L188" s="5" t="s">
        <v>29</v>
      </c>
      <c r="M188" s="6">
        <v>44602</v>
      </c>
      <c r="N188" s="5">
        <v>2099.9699999999998</v>
      </c>
      <c r="O188" s="5" t="str">
        <f>TEXT(Table2[[#This Row],[Date]],"mmm")</f>
        <v>Jan</v>
      </c>
      <c r="R188">
        <f>SUMIF(Table2[Product_Name],F190,Table2[[#All],[Quantity]])</f>
        <v>67</v>
      </c>
    </row>
    <row r="189" spans="1:18" ht="15.75" customHeight="1" x14ac:dyDescent="0.3">
      <c r="A189" s="5" t="s">
        <v>336</v>
      </c>
      <c r="B189" s="6">
        <v>45670</v>
      </c>
      <c r="C189" s="5" t="s">
        <v>295</v>
      </c>
      <c r="D189" s="5" t="s">
        <v>296</v>
      </c>
      <c r="E189" s="5" t="s">
        <v>116</v>
      </c>
      <c r="F189" s="5" t="s">
        <v>117</v>
      </c>
      <c r="G189" s="5" t="s">
        <v>35</v>
      </c>
      <c r="H189" s="5">
        <v>1</v>
      </c>
      <c r="I189" s="5">
        <v>79.989999999999995</v>
      </c>
      <c r="J189" s="5" t="s">
        <v>28</v>
      </c>
      <c r="K189" s="5" t="s">
        <v>37</v>
      </c>
      <c r="L189" s="5" t="s">
        <v>24</v>
      </c>
      <c r="M189" s="6">
        <v>45322</v>
      </c>
      <c r="N189" s="5">
        <v>79.989999999999995</v>
      </c>
      <c r="O189" s="5" t="str">
        <f>TEXT(Table2[[#This Row],[Date]],"mmm")</f>
        <v>Jan</v>
      </c>
      <c r="R189">
        <f>SUMIF(Table2[Product_Name],F191,Table2[[#All],[Quantity]])</f>
        <v>86</v>
      </c>
    </row>
    <row r="190" spans="1:18" ht="15.75" customHeight="1" x14ac:dyDescent="0.3">
      <c r="A190" s="5" t="s">
        <v>337</v>
      </c>
      <c r="B190" s="6">
        <v>45670</v>
      </c>
      <c r="C190" s="5" t="s">
        <v>88</v>
      </c>
      <c r="D190" s="5" t="s">
        <v>89</v>
      </c>
      <c r="E190" s="5" t="s">
        <v>107</v>
      </c>
      <c r="F190" s="5" t="s">
        <v>108</v>
      </c>
      <c r="G190" s="5" t="s">
        <v>48</v>
      </c>
      <c r="H190" s="5">
        <v>1</v>
      </c>
      <c r="I190" s="5">
        <v>299.99</v>
      </c>
      <c r="J190" s="5" t="s">
        <v>28</v>
      </c>
      <c r="K190" s="5" t="s">
        <v>42</v>
      </c>
      <c r="L190" s="5" t="s">
        <v>24</v>
      </c>
      <c r="M190" s="6">
        <v>44436</v>
      </c>
      <c r="N190" s="5">
        <v>299.99</v>
      </c>
      <c r="O190" s="5" t="str">
        <f>TEXT(Table2[[#This Row],[Date]],"mmm")</f>
        <v>Jan</v>
      </c>
      <c r="R190">
        <f>SUMIF(Table2[Product_Name],F192,Table2[[#All],[Quantity]])</f>
        <v>48</v>
      </c>
    </row>
    <row r="191" spans="1:18" ht="15.75" customHeight="1" x14ac:dyDescent="0.3">
      <c r="A191" s="5" t="s">
        <v>338</v>
      </c>
      <c r="B191" s="6">
        <v>45671</v>
      </c>
      <c r="C191" s="5" t="s">
        <v>160</v>
      </c>
      <c r="D191" s="5" t="s">
        <v>161</v>
      </c>
      <c r="E191" s="5" t="s">
        <v>19</v>
      </c>
      <c r="F191" s="5" t="s">
        <v>20</v>
      </c>
      <c r="G191" s="5" t="s">
        <v>21</v>
      </c>
      <c r="H191" s="5">
        <v>4</v>
      </c>
      <c r="I191" s="5">
        <v>249.99</v>
      </c>
      <c r="J191" s="5" t="s">
        <v>28</v>
      </c>
      <c r="K191" s="5" t="s">
        <v>42</v>
      </c>
      <c r="L191" s="5" t="s">
        <v>29</v>
      </c>
      <c r="M191" s="6">
        <v>44460</v>
      </c>
      <c r="N191" s="5">
        <v>999.96</v>
      </c>
      <c r="O191" s="5" t="str">
        <f>TEXT(Table2[[#This Row],[Date]],"mmm")</f>
        <v>Jan</v>
      </c>
      <c r="R191">
        <f>SUMIF(Table2[Product_Name],F193,Table2[[#All],[Quantity]])</f>
        <v>67</v>
      </c>
    </row>
    <row r="192" spans="1:18" ht="15.75" customHeight="1" x14ac:dyDescent="0.3">
      <c r="A192" s="5" t="s">
        <v>339</v>
      </c>
      <c r="B192" s="6">
        <v>45671</v>
      </c>
      <c r="C192" s="5" t="s">
        <v>122</v>
      </c>
      <c r="D192" s="5" t="s">
        <v>123</v>
      </c>
      <c r="E192" s="5" t="s">
        <v>54</v>
      </c>
      <c r="F192" s="5" t="s">
        <v>55</v>
      </c>
      <c r="G192" s="5" t="s">
        <v>21</v>
      </c>
      <c r="H192" s="5">
        <v>2</v>
      </c>
      <c r="I192" s="5">
        <v>149.99</v>
      </c>
      <c r="J192" s="5" t="s">
        <v>22</v>
      </c>
      <c r="K192" s="5" t="s">
        <v>42</v>
      </c>
      <c r="L192" s="5" t="s">
        <v>38</v>
      </c>
      <c r="M192" s="6">
        <v>44913</v>
      </c>
      <c r="N192" s="5">
        <v>299.98</v>
      </c>
      <c r="O192" s="5" t="str">
        <f>TEXT(Table2[[#This Row],[Date]],"mmm")</f>
        <v>Jan</v>
      </c>
      <c r="R192">
        <f>SUMIF(Table2[Product_Name],F194,Table2[[#All],[Quantity]])</f>
        <v>43</v>
      </c>
    </row>
    <row r="193" spans="1:18" ht="15.75" customHeight="1" x14ac:dyDescent="0.3">
      <c r="A193" s="5" t="s">
        <v>340</v>
      </c>
      <c r="B193" s="6">
        <v>45671</v>
      </c>
      <c r="C193" s="5" t="s">
        <v>236</v>
      </c>
      <c r="D193" s="5" t="s">
        <v>237</v>
      </c>
      <c r="E193" s="5" t="s">
        <v>107</v>
      </c>
      <c r="F193" s="5" t="s">
        <v>108</v>
      </c>
      <c r="G193" s="5" t="s">
        <v>48</v>
      </c>
      <c r="H193" s="5">
        <v>3</v>
      </c>
      <c r="I193" s="5">
        <v>299.99</v>
      </c>
      <c r="J193" s="5" t="s">
        <v>28</v>
      </c>
      <c r="K193" s="5" t="s">
        <v>37</v>
      </c>
      <c r="L193" s="5" t="s">
        <v>24</v>
      </c>
      <c r="M193" s="6">
        <v>45204</v>
      </c>
      <c r="N193" s="5">
        <v>899.97</v>
      </c>
      <c r="O193" s="5" t="str">
        <f>TEXT(Table2[[#This Row],[Date]],"mmm")</f>
        <v>Jan</v>
      </c>
      <c r="R193">
        <f>SUMIF(Table2[Product_Name],F195,Table2[[#All],[Quantity]])</f>
        <v>67</v>
      </c>
    </row>
    <row r="194" spans="1:18" ht="15.75" customHeight="1" x14ac:dyDescent="0.3">
      <c r="A194" s="5" t="s">
        <v>341</v>
      </c>
      <c r="B194" s="6">
        <v>45673</v>
      </c>
      <c r="C194" s="5" t="s">
        <v>228</v>
      </c>
      <c r="D194" s="5" t="s">
        <v>229</v>
      </c>
      <c r="E194" s="5" t="s">
        <v>128</v>
      </c>
      <c r="F194" s="5" t="s">
        <v>129</v>
      </c>
      <c r="G194" s="5" t="s">
        <v>48</v>
      </c>
      <c r="H194" s="5">
        <v>4</v>
      </c>
      <c r="I194" s="5">
        <v>199.99</v>
      </c>
      <c r="J194" s="5" t="s">
        <v>59</v>
      </c>
      <c r="K194" s="5" t="s">
        <v>37</v>
      </c>
      <c r="L194" s="5" t="s">
        <v>38</v>
      </c>
      <c r="M194" s="6">
        <v>44544</v>
      </c>
      <c r="N194" s="5">
        <v>799.96</v>
      </c>
      <c r="O194" s="5" t="str">
        <f>TEXT(Table2[[#This Row],[Date]],"mmm")</f>
        <v>Jan</v>
      </c>
      <c r="R194">
        <f>SUMIF(Table2[Product_Name],F196,Table2[[#All],[Quantity]])</f>
        <v>108</v>
      </c>
    </row>
    <row r="195" spans="1:18" ht="15.75" customHeight="1" x14ac:dyDescent="0.3">
      <c r="A195" s="5" t="s">
        <v>342</v>
      </c>
      <c r="B195" s="6">
        <v>45673</v>
      </c>
      <c r="C195" s="5" t="s">
        <v>213</v>
      </c>
      <c r="D195" s="5" t="s">
        <v>214</v>
      </c>
      <c r="E195" s="5" t="s">
        <v>107</v>
      </c>
      <c r="F195" s="5" t="s">
        <v>108</v>
      </c>
      <c r="G195" s="5" t="s">
        <v>48</v>
      </c>
      <c r="H195" s="5">
        <v>5</v>
      </c>
      <c r="I195" s="5">
        <v>299.99</v>
      </c>
      <c r="J195" s="5" t="s">
        <v>59</v>
      </c>
      <c r="K195" s="5" t="s">
        <v>23</v>
      </c>
      <c r="L195" s="5" t="s">
        <v>24</v>
      </c>
      <c r="M195" s="6">
        <v>44431</v>
      </c>
      <c r="N195" s="5">
        <v>1499.95</v>
      </c>
      <c r="O195" s="5" t="str">
        <f>TEXT(Table2[[#This Row],[Date]],"mmm")</f>
        <v>Jan</v>
      </c>
      <c r="R195">
        <f>SUMIF(Table2[Product_Name],F197,Table2[[#All],[Quantity]])</f>
        <v>98</v>
      </c>
    </row>
    <row r="196" spans="1:18" ht="15.75" customHeight="1" x14ac:dyDescent="0.3">
      <c r="A196" s="5" t="s">
        <v>343</v>
      </c>
      <c r="B196" s="6">
        <v>45673</v>
      </c>
      <c r="C196" s="5" t="s">
        <v>61</v>
      </c>
      <c r="D196" s="5" t="s">
        <v>62</v>
      </c>
      <c r="E196" s="5" t="s">
        <v>46</v>
      </c>
      <c r="F196" s="5" t="s">
        <v>47</v>
      </c>
      <c r="G196" s="5" t="s">
        <v>48</v>
      </c>
      <c r="H196" s="5">
        <v>3</v>
      </c>
      <c r="I196" s="5">
        <v>149.99</v>
      </c>
      <c r="J196" s="5" t="s">
        <v>28</v>
      </c>
      <c r="K196" s="5" t="s">
        <v>65</v>
      </c>
      <c r="L196" s="5" t="s">
        <v>38</v>
      </c>
      <c r="M196" s="6">
        <v>44395</v>
      </c>
      <c r="N196" s="5">
        <v>449.97</v>
      </c>
      <c r="O196" s="5" t="str">
        <f>TEXT(Table2[[#This Row],[Date]],"mmm")</f>
        <v>Jan</v>
      </c>
      <c r="R196">
        <f>SUMIF(Table2[Product_Name],F198,Table2[[#All],[Quantity]])</f>
        <v>98</v>
      </c>
    </row>
    <row r="197" spans="1:18" ht="15.75" customHeight="1" x14ac:dyDescent="0.3">
      <c r="A197" s="5" t="s">
        <v>344</v>
      </c>
      <c r="B197" s="6">
        <v>45676</v>
      </c>
      <c r="C197" s="5" t="s">
        <v>131</v>
      </c>
      <c r="D197" s="5" t="s">
        <v>132</v>
      </c>
      <c r="E197" s="5" t="s">
        <v>33</v>
      </c>
      <c r="F197" s="5" t="s">
        <v>34</v>
      </c>
      <c r="G197" s="5" t="s">
        <v>35</v>
      </c>
      <c r="H197" s="5">
        <v>5</v>
      </c>
      <c r="I197" s="5">
        <v>59.99</v>
      </c>
      <c r="J197" s="5" t="s">
        <v>59</v>
      </c>
      <c r="K197" s="5" t="s">
        <v>65</v>
      </c>
      <c r="L197" s="5" t="s">
        <v>24</v>
      </c>
      <c r="M197" s="6">
        <v>44642</v>
      </c>
      <c r="N197" s="5">
        <v>299.95</v>
      </c>
      <c r="O197" s="5" t="str">
        <f>TEXT(Table2[[#This Row],[Date]],"mmm")</f>
        <v>Jan</v>
      </c>
      <c r="R197">
        <f>SUMIF(Table2[Product_Name],F199,Table2[[#All],[Quantity]])</f>
        <v>86</v>
      </c>
    </row>
    <row r="198" spans="1:18" ht="15.75" customHeight="1" x14ac:dyDescent="0.3">
      <c r="A198" s="5" t="s">
        <v>345</v>
      </c>
      <c r="B198" s="6">
        <v>45682</v>
      </c>
      <c r="C198" s="5" t="s">
        <v>70</v>
      </c>
      <c r="D198" s="5" t="s">
        <v>71</v>
      </c>
      <c r="E198" s="5" t="s">
        <v>33</v>
      </c>
      <c r="F198" s="5" t="s">
        <v>34</v>
      </c>
      <c r="G198" s="5" t="s">
        <v>35</v>
      </c>
      <c r="H198" s="5">
        <v>4</v>
      </c>
      <c r="I198" s="5">
        <v>59.99</v>
      </c>
      <c r="J198" s="5" t="s">
        <v>59</v>
      </c>
      <c r="K198" s="5" t="s">
        <v>65</v>
      </c>
      <c r="L198" s="5" t="s">
        <v>38</v>
      </c>
      <c r="M198" s="6">
        <v>44564</v>
      </c>
      <c r="N198" s="5">
        <v>239.96</v>
      </c>
      <c r="O198" s="5" t="str">
        <f>TEXT(Table2[[#This Row],[Date]],"mmm")</f>
        <v>Jan</v>
      </c>
      <c r="R198">
        <f>SUMIF(Table2[Product_Name],F200,Table2[[#All],[Quantity]])</f>
        <v>67</v>
      </c>
    </row>
    <row r="199" spans="1:18" ht="15.75" customHeight="1" x14ac:dyDescent="0.3">
      <c r="A199" s="5" t="s">
        <v>346</v>
      </c>
      <c r="B199" s="6">
        <v>45683</v>
      </c>
      <c r="C199" s="5" t="s">
        <v>50</v>
      </c>
      <c r="D199" s="5" t="s">
        <v>51</v>
      </c>
      <c r="E199" s="5" t="s">
        <v>19</v>
      </c>
      <c r="F199" s="5" t="s">
        <v>20</v>
      </c>
      <c r="G199" s="5" t="s">
        <v>21</v>
      </c>
      <c r="H199" s="5">
        <v>4</v>
      </c>
      <c r="I199" s="5">
        <v>249.99</v>
      </c>
      <c r="J199" s="5" t="s">
        <v>59</v>
      </c>
      <c r="K199" s="5" t="s">
        <v>23</v>
      </c>
      <c r="L199" s="5" t="s">
        <v>29</v>
      </c>
      <c r="M199" s="6">
        <v>45217</v>
      </c>
      <c r="N199" s="5">
        <v>999.96</v>
      </c>
      <c r="O199" s="5" t="str">
        <f>TEXT(Table2[[#This Row],[Date]],"mmm")</f>
        <v>Jan</v>
      </c>
      <c r="R199">
        <f>SUMIF(Table2[Product_Name],F201,Table2[[#All],[Quantity]])</f>
        <v>67</v>
      </c>
    </row>
    <row r="200" spans="1:18" ht="15.75" customHeight="1" x14ac:dyDescent="0.3">
      <c r="A200" s="5" t="s">
        <v>347</v>
      </c>
      <c r="B200" s="6">
        <v>45686</v>
      </c>
      <c r="C200" s="5" t="s">
        <v>254</v>
      </c>
      <c r="D200" s="5" t="s">
        <v>255</v>
      </c>
      <c r="E200" s="5" t="s">
        <v>63</v>
      </c>
      <c r="F200" s="5" t="s">
        <v>64</v>
      </c>
      <c r="G200" s="5" t="s">
        <v>21</v>
      </c>
      <c r="H200" s="5">
        <v>4</v>
      </c>
      <c r="I200" s="5">
        <v>899.99</v>
      </c>
      <c r="J200" s="5" t="s">
        <v>36</v>
      </c>
      <c r="K200" s="5" t="s">
        <v>23</v>
      </c>
      <c r="L200" s="5" t="s">
        <v>24</v>
      </c>
      <c r="M200" s="6">
        <v>44734</v>
      </c>
      <c r="N200" s="5">
        <v>3599.96</v>
      </c>
      <c r="O200" s="5" t="str">
        <f>TEXT(Table2[[#This Row],[Date]],"mmm")</f>
        <v>Jan</v>
      </c>
      <c r="R200">
        <f>SUMIF(Table2[Product_Name],F202,Table2[[#All],[Quantity]])</f>
        <v>84</v>
      </c>
    </row>
    <row r="201" spans="1:18" ht="15.75" customHeight="1" x14ac:dyDescent="0.3">
      <c r="A201" s="5" t="s">
        <v>348</v>
      </c>
      <c r="B201" s="6">
        <v>45686</v>
      </c>
      <c r="C201" s="5" t="s">
        <v>88</v>
      </c>
      <c r="D201" s="5" t="s">
        <v>89</v>
      </c>
      <c r="E201" s="5" t="s">
        <v>107</v>
      </c>
      <c r="F201" s="5" t="s">
        <v>108</v>
      </c>
      <c r="G201" s="5" t="s">
        <v>48</v>
      </c>
      <c r="H201" s="5">
        <v>3</v>
      </c>
      <c r="I201" s="5">
        <v>299.99</v>
      </c>
      <c r="J201" s="5" t="s">
        <v>59</v>
      </c>
      <c r="K201" s="5" t="s">
        <v>52</v>
      </c>
      <c r="L201" s="5" t="s">
        <v>38</v>
      </c>
      <c r="M201" s="6">
        <v>44952</v>
      </c>
      <c r="N201" s="5">
        <v>899.97</v>
      </c>
      <c r="O201" s="5" t="str">
        <f>TEXT(Table2[[#This Row],[Date]],"mmm")</f>
        <v>Jan</v>
      </c>
      <c r="R201">
        <f>SUMIF(Table2[Product_Name],F203,Table2[[#All],[Quantity]])</f>
        <v>84</v>
      </c>
    </row>
    <row r="202" spans="1:18" ht="15.75" customHeight="1" x14ac:dyDescent="0.3">
      <c r="A202" s="5" t="s">
        <v>349</v>
      </c>
      <c r="B202" s="6">
        <v>45686</v>
      </c>
      <c r="C202" s="5" t="s">
        <v>295</v>
      </c>
      <c r="D202" s="5" t="s">
        <v>296</v>
      </c>
      <c r="E202" s="5" t="s">
        <v>82</v>
      </c>
      <c r="F202" s="5" t="s">
        <v>83</v>
      </c>
      <c r="G202" s="5" t="s">
        <v>21</v>
      </c>
      <c r="H202" s="5">
        <v>2</v>
      </c>
      <c r="I202" s="5">
        <v>699.99</v>
      </c>
      <c r="J202" s="5" t="s">
        <v>59</v>
      </c>
      <c r="K202" s="5" t="s">
        <v>23</v>
      </c>
      <c r="L202" s="5" t="s">
        <v>29</v>
      </c>
      <c r="M202" s="6">
        <v>44681</v>
      </c>
      <c r="N202" s="5">
        <v>1399.98</v>
      </c>
      <c r="O202" s="5" t="str">
        <f>TEXT(Table2[[#This Row],[Date]],"mmm")</f>
        <v>Jan</v>
      </c>
      <c r="R202">
        <f>SUMIF(Table2[Product_Name],F204,Table2[[#All],[Quantity]])</f>
        <v>99</v>
      </c>
    </row>
    <row r="203" spans="1:18" ht="15.75" customHeight="1" x14ac:dyDescent="0.3">
      <c r="A203" s="5" t="s">
        <v>350</v>
      </c>
      <c r="B203" s="6">
        <v>45688</v>
      </c>
      <c r="C203" s="5" t="s">
        <v>67</v>
      </c>
      <c r="D203" s="5" t="s">
        <v>68</v>
      </c>
      <c r="E203" s="5" t="s">
        <v>82</v>
      </c>
      <c r="F203" s="5" t="s">
        <v>83</v>
      </c>
      <c r="G203" s="5" t="s">
        <v>21</v>
      </c>
      <c r="H203" s="5">
        <v>4</v>
      </c>
      <c r="I203" s="5">
        <v>699.99</v>
      </c>
      <c r="J203" s="5" t="s">
        <v>59</v>
      </c>
      <c r="K203" s="5" t="s">
        <v>52</v>
      </c>
      <c r="L203" s="5" t="s">
        <v>29</v>
      </c>
      <c r="M203" s="6">
        <v>44692</v>
      </c>
      <c r="N203" s="5">
        <v>2799.96</v>
      </c>
      <c r="O203" s="5" t="str">
        <f>TEXT(Table2[[#This Row],[Date]],"mmm")</f>
        <v>Jan</v>
      </c>
      <c r="R203">
        <f>SUMIF(Table2[Product_Name],F205,Table2[[#All],[Quantity]])</f>
        <v>99</v>
      </c>
    </row>
    <row r="204" spans="1:18" ht="15.75" customHeight="1" x14ac:dyDescent="0.3">
      <c r="A204" s="5" t="s">
        <v>351</v>
      </c>
      <c r="B204" s="6">
        <v>45688</v>
      </c>
      <c r="C204" s="5" t="s">
        <v>125</v>
      </c>
      <c r="D204" s="5" t="s">
        <v>126</v>
      </c>
      <c r="E204" s="5" t="s">
        <v>119</v>
      </c>
      <c r="F204" s="5" t="s">
        <v>120</v>
      </c>
      <c r="G204" s="5" t="s">
        <v>21</v>
      </c>
      <c r="H204" s="5">
        <v>2</v>
      </c>
      <c r="I204" s="5">
        <v>89.99</v>
      </c>
      <c r="J204" s="5" t="s">
        <v>59</v>
      </c>
      <c r="K204" s="5" t="s">
        <v>37</v>
      </c>
      <c r="L204" s="5" t="s">
        <v>24</v>
      </c>
      <c r="M204" s="6">
        <v>44777</v>
      </c>
      <c r="N204" s="5">
        <v>179.98</v>
      </c>
      <c r="O204" s="5" t="str">
        <f>TEXT(Table2[[#This Row],[Date]],"mmm")</f>
        <v>Jan</v>
      </c>
      <c r="R204">
        <f>SUMIF(Table2[Product_Name],F206,Table2[[#All],[Quantity]])</f>
        <v>98</v>
      </c>
    </row>
    <row r="205" spans="1:18" ht="15.75" customHeight="1" x14ac:dyDescent="0.3">
      <c r="A205" s="5" t="s">
        <v>352</v>
      </c>
      <c r="B205" s="6">
        <v>45688</v>
      </c>
      <c r="C205" s="5" t="s">
        <v>44</v>
      </c>
      <c r="D205" s="5" t="s">
        <v>45</v>
      </c>
      <c r="E205" s="5" t="s">
        <v>119</v>
      </c>
      <c r="F205" s="5" t="s">
        <v>120</v>
      </c>
      <c r="G205" s="5" t="s">
        <v>21</v>
      </c>
      <c r="H205" s="5">
        <v>3</v>
      </c>
      <c r="I205" s="5">
        <v>89.99</v>
      </c>
      <c r="J205" s="5" t="s">
        <v>59</v>
      </c>
      <c r="K205" s="5" t="s">
        <v>37</v>
      </c>
      <c r="L205" s="5" t="s">
        <v>29</v>
      </c>
      <c r="M205" s="6">
        <v>45307</v>
      </c>
      <c r="N205" s="5">
        <v>269.97000000000003</v>
      </c>
      <c r="O205" s="5" t="str">
        <f>TEXT(Table2[[#This Row],[Date]],"mmm")</f>
        <v>Jan</v>
      </c>
      <c r="R205">
        <f>SUMIF(Table2[Product_Name],F207,Table2[[#All],[Quantity]])</f>
        <v>108</v>
      </c>
    </row>
    <row r="206" spans="1:18" ht="15.75" customHeight="1" x14ac:dyDescent="0.3">
      <c r="A206" s="5" t="s">
        <v>353</v>
      </c>
      <c r="B206" s="6">
        <v>45692</v>
      </c>
      <c r="C206" s="5" t="s">
        <v>327</v>
      </c>
      <c r="D206" s="5" t="s">
        <v>328</v>
      </c>
      <c r="E206" s="5" t="s">
        <v>33</v>
      </c>
      <c r="F206" s="5" t="s">
        <v>34</v>
      </c>
      <c r="G206" s="5" t="s">
        <v>35</v>
      </c>
      <c r="H206" s="5">
        <v>1</v>
      </c>
      <c r="I206" s="5">
        <v>59.99</v>
      </c>
      <c r="J206" s="5" t="s">
        <v>59</v>
      </c>
      <c r="K206" s="5" t="s">
        <v>23</v>
      </c>
      <c r="L206" s="5" t="s">
        <v>38</v>
      </c>
      <c r="M206" s="6">
        <v>45045</v>
      </c>
      <c r="N206" s="5">
        <v>59.99</v>
      </c>
      <c r="O206" s="5" t="str">
        <f>TEXT(Table2[[#This Row],[Date]],"mmm")</f>
        <v>Feb</v>
      </c>
      <c r="R206">
        <f>SUMIF(Table2[Product_Name],F208,Table2[[#All],[Quantity]])</f>
        <v>67</v>
      </c>
    </row>
    <row r="207" spans="1:18" ht="15.75" customHeight="1" x14ac:dyDescent="0.3">
      <c r="A207" s="5" t="s">
        <v>354</v>
      </c>
      <c r="B207" s="6">
        <v>45695</v>
      </c>
      <c r="C207" s="5" t="s">
        <v>248</v>
      </c>
      <c r="D207" s="5" t="s">
        <v>249</v>
      </c>
      <c r="E207" s="5" t="s">
        <v>46</v>
      </c>
      <c r="F207" s="5" t="s">
        <v>47</v>
      </c>
      <c r="G207" s="5" t="s">
        <v>48</v>
      </c>
      <c r="H207" s="5">
        <v>3</v>
      </c>
      <c r="I207" s="5">
        <v>149.99</v>
      </c>
      <c r="J207" s="5" t="s">
        <v>59</v>
      </c>
      <c r="K207" s="5" t="s">
        <v>42</v>
      </c>
      <c r="L207" s="5" t="s">
        <v>29</v>
      </c>
      <c r="M207" s="6">
        <v>44564</v>
      </c>
      <c r="N207" s="5">
        <v>449.97</v>
      </c>
      <c r="O207" s="5" t="str">
        <f>TEXT(Table2[[#This Row],[Date]],"mmm")</f>
        <v>Feb</v>
      </c>
      <c r="R207">
        <f>SUMIF(Table2[Product_Name],F209,Table2[[#All],[Quantity]])</f>
        <v>98</v>
      </c>
    </row>
    <row r="208" spans="1:18" ht="15.75" customHeight="1" x14ac:dyDescent="0.3">
      <c r="A208" s="5" t="s">
        <v>355</v>
      </c>
      <c r="B208" s="6">
        <v>45695</v>
      </c>
      <c r="C208" s="5" t="s">
        <v>95</v>
      </c>
      <c r="D208" s="5" t="s">
        <v>96</v>
      </c>
      <c r="E208" s="5" t="s">
        <v>107</v>
      </c>
      <c r="F208" s="5" t="s">
        <v>108</v>
      </c>
      <c r="G208" s="5" t="s">
        <v>48</v>
      </c>
      <c r="H208" s="5">
        <v>5</v>
      </c>
      <c r="I208" s="5">
        <v>299.99</v>
      </c>
      <c r="J208" s="5" t="s">
        <v>28</v>
      </c>
      <c r="K208" s="5" t="s">
        <v>37</v>
      </c>
      <c r="L208" s="5" t="s">
        <v>24</v>
      </c>
      <c r="M208" s="6">
        <v>44959</v>
      </c>
      <c r="N208" s="5">
        <v>1499.95</v>
      </c>
      <c r="O208" s="5" t="str">
        <f>TEXT(Table2[[#This Row],[Date]],"mmm")</f>
        <v>Feb</v>
      </c>
      <c r="R208">
        <f>SUMIF(Table2[Product_Name],F210,Table2[[#All],[Quantity]])</f>
        <v>50</v>
      </c>
    </row>
    <row r="209" spans="1:18" ht="15.75" customHeight="1" x14ac:dyDescent="0.3">
      <c r="A209" s="5" t="s">
        <v>356</v>
      </c>
      <c r="B209" s="6">
        <v>45696</v>
      </c>
      <c r="C209" s="5" t="s">
        <v>152</v>
      </c>
      <c r="D209" s="5" t="s">
        <v>153</v>
      </c>
      <c r="E209" s="5" t="s">
        <v>33</v>
      </c>
      <c r="F209" s="5" t="s">
        <v>34</v>
      </c>
      <c r="G209" s="5" t="s">
        <v>35</v>
      </c>
      <c r="H209" s="5">
        <v>5</v>
      </c>
      <c r="I209" s="5">
        <v>59.99</v>
      </c>
      <c r="J209" s="5" t="s">
        <v>59</v>
      </c>
      <c r="K209" s="5" t="s">
        <v>23</v>
      </c>
      <c r="L209" s="5" t="s">
        <v>38</v>
      </c>
      <c r="M209" s="6">
        <v>45177</v>
      </c>
      <c r="N209" s="5">
        <v>299.95</v>
      </c>
      <c r="O209" s="5" t="str">
        <f>TEXT(Table2[[#This Row],[Date]],"mmm")</f>
        <v>Feb</v>
      </c>
      <c r="R209">
        <f>SUMIF(Table2[Product_Name],F211,Table2[[#All],[Quantity]])</f>
        <v>43</v>
      </c>
    </row>
    <row r="210" spans="1:18" ht="15.75" customHeight="1" x14ac:dyDescent="0.3">
      <c r="A210" s="5" t="s">
        <v>357</v>
      </c>
      <c r="B210" s="6">
        <v>45701</v>
      </c>
      <c r="C210" s="5" t="s">
        <v>110</v>
      </c>
      <c r="D210" s="5" t="s">
        <v>111</v>
      </c>
      <c r="E210" s="5" t="s">
        <v>116</v>
      </c>
      <c r="F210" s="5" t="s">
        <v>117</v>
      </c>
      <c r="G210" s="5" t="s">
        <v>35</v>
      </c>
      <c r="H210" s="5">
        <v>3</v>
      </c>
      <c r="I210" s="5">
        <v>79.989999999999995</v>
      </c>
      <c r="J210" s="5" t="s">
        <v>22</v>
      </c>
      <c r="K210" s="5" t="s">
        <v>65</v>
      </c>
      <c r="L210" s="5" t="s">
        <v>29</v>
      </c>
      <c r="M210" s="6">
        <v>44436</v>
      </c>
      <c r="N210" s="5">
        <v>239.97</v>
      </c>
      <c r="O210" s="5" t="str">
        <f>TEXT(Table2[[#This Row],[Date]],"mmm")</f>
        <v>Feb</v>
      </c>
      <c r="R210">
        <f>SUMIF(Table2[Product_Name],F212,Table2[[#All],[Quantity]])</f>
        <v>99</v>
      </c>
    </row>
    <row r="211" spans="1:18" ht="15.75" customHeight="1" x14ac:dyDescent="0.3">
      <c r="A211" s="5" t="s">
        <v>358</v>
      </c>
      <c r="B211" s="6">
        <v>45704</v>
      </c>
      <c r="C211" s="5" t="s">
        <v>31</v>
      </c>
      <c r="D211" s="5" t="s">
        <v>32</v>
      </c>
      <c r="E211" s="5" t="s">
        <v>128</v>
      </c>
      <c r="F211" s="5" t="s">
        <v>129</v>
      </c>
      <c r="G211" s="5" t="s">
        <v>48</v>
      </c>
      <c r="H211" s="5">
        <v>3</v>
      </c>
      <c r="I211" s="5">
        <v>199.99</v>
      </c>
      <c r="J211" s="5" t="s">
        <v>22</v>
      </c>
      <c r="K211" s="5" t="s">
        <v>23</v>
      </c>
      <c r="L211" s="5" t="s">
        <v>24</v>
      </c>
      <c r="M211" s="6">
        <v>44735</v>
      </c>
      <c r="N211" s="5">
        <v>599.97</v>
      </c>
      <c r="O211" s="5" t="str">
        <f>TEXT(Table2[[#This Row],[Date]],"mmm")</f>
        <v>Feb</v>
      </c>
      <c r="R211">
        <f>SUMIF(Table2[Product_Name],F213,Table2[[#All],[Quantity]])</f>
        <v>108</v>
      </c>
    </row>
    <row r="212" spans="1:18" ht="15.75" customHeight="1" x14ac:dyDescent="0.3">
      <c r="A212" s="5" t="s">
        <v>359</v>
      </c>
      <c r="B212" s="6">
        <v>45704</v>
      </c>
      <c r="C212" s="5" t="s">
        <v>17</v>
      </c>
      <c r="D212" s="5" t="s">
        <v>18</v>
      </c>
      <c r="E212" s="5" t="s">
        <v>119</v>
      </c>
      <c r="F212" s="5" t="s">
        <v>120</v>
      </c>
      <c r="G212" s="5" t="s">
        <v>21</v>
      </c>
      <c r="H212" s="5">
        <v>2</v>
      </c>
      <c r="I212" s="5">
        <v>89.99</v>
      </c>
      <c r="J212" s="5" t="s">
        <v>36</v>
      </c>
      <c r="K212" s="5" t="s">
        <v>23</v>
      </c>
      <c r="L212" s="5" t="s">
        <v>24</v>
      </c>
      <c r="M212" s="6">
        <v>45257</v>
      </c>
      <c r="N212" s="5">
        <v>179.98</v>
      </c>
      <c r="O212" s="5" t="str">
        <f>TEXT(Table2[[#This Row],[Date]],"mmm")</f>
        <v>Feb</v>
      </c>
      <c r="R212">
        <f>SUMIF(Table2[Product_Name],F214,Table2[[#All],[Quantity]])</f>
        <v>84</v>
      </c>
    </row>
    <row r="213" spans="1:18" ht="15.75" customHeight="1" x14ac:dyDescent="0.3">
      <c r="A213" s="5" t="s">
        <v>360</v>
      </c>
      <c r="B213" s="6">
        <v>45705</v>
      </c>
      <c r="C213" s="5" t="s">
        <v>261</v>
      </c>
      <c r="D213" s="5" t="s">
        <v>262</v>
      </c>
      <c r="E213" s="5" t="s">
        <v>46</v>
      </c>
      <c r="F213" s="5" t="s">
        <v>47</v>
      </c>
      <c r="G213" s="5" t="s">
        <v>48</v>
      </c>
      <c r="H213" s="5">
        <v>2</v>
      </c>
      <c r="I213" s="5">
        <v>149.99</v>
      </c>
      <c r="J213" s="5" t="s">
        <v>22</v>
      </c>
      <c r="K213" s="5" t="s">
        <v>37</v>
      </c>
      <c r="L213" s="5" t="s">
        <v>29</v>
      </c>
      <c r="M213" s="6">
        <v>44728</v>
      </c>
      <c r="N213" s="5">
        <v>299.98</v>
      </c>
      <c r="O213" s="5" t="str">
        <f>TEXT(Table2[[#This Row],[Date]],"mmm")</f>
        <v>Feb</v>
      </c>
      <c r="R213">
        <f>SUMIF(Table2[Product_Name],F215,Table2[[#All],[Quantity]])</f>
        <v>108</v>
      </c>
    </row>
    <row r="214" spans="1:18" ht="15.75" customHeight="1" x14ac:dyDescent="0.3">
      <c r="A214" s="5" t="s">
        <v>361</v>
      </c>
      <c r="B214" s="6">
        <v>45707</v>
      </c>
      <c r="C214" s="5" t="s">
        <v>125</v>
      </c>
      <c r="D214" s="5" t="s">
        <v>126</v>
      </c>
      <c r="E214" s="5" t="s">
        <v>82</v>
      </c>
      <c r="F214" s="5" t="s">
        <v>83</v>
      </c>
      <c r="G214" s="5" t="s">
        <v>21</v>
      </c>
      <c r="H214" s="5">
        <v>5</v>
      </c>
      <c r="I214" s="5">
        <v>699.99</v>
      </c>
      <c r="J214" s="5" t="s">
        <v>36</v>
      </c>
      <c r="K214" s="5" t="s">
        <v>37</v>
      </c>
      <c r="L214" s="5" t="s">
        <v>29</v>
      </c>
      <c r="M214" s="6">
        <v>45352</v>
      </c>
      <c r="N214" s="5">
        <v>3499.95</v>
      </c>
      <c r="O214" s="5" t="str">
        <f>TEXT(Table2[[#This Row],[Date]],"mmm")</f>
        <v>Feb</v>
      </c>
      <c r="R214">
        <f>SUMIF(Table2[Product_Name],F216,Table2[[#All],[Quantity]])</f>
        <v>67</v>
      </c>
    </row>
    <row r="215" spans="1:18" ht="15.75" customHeight="1" x14ac:dyDescent="0.3">
      <c r="A215" s="5" t="s">
        <v>362</v>
      </c>
      <c r="B215" s="6">
        <v>45707</v>
      </c>
      <c r="C215" s="5" t="s">
        <v>44</v>
      </c>
      <c r="D215" s="5" t="s">
        <v>45</v>
      </c>
      <c r="E215" s="5" t="s">
        <v>46</v>
      </c>
      <c r="F215" s="5" t="s">
        <v>47</v>
      </c>
      <c r="G215" s="5" t="s">
        <v>48</v>
      </c>
      <c r="H215" s="5">
        <v>3</v>
      </c>
      <c r="I215" s="5">
        <v>149.99</v>
      </c>
      <c r="J215" s="5" t="s">
        <v>36</v>
      </c>
      <c r="K215" s="5" t="s">
        <v>23</v>
      </c>
      <c r="L215" s="5" t="s">
        <v>38</v>
      </c>
      <c r="M215" s="6">
        <v>44633</v>
      </c>
      <c r="N215" s="5">
        <v>449.97</v>
      </c>
      <c r="O215" s="5" t="str">
        <f>TEXT(Table2[[#This Row],[Date]],"mmm")</f>
        <v>Feb</v>
      </c>
      <c r="R215">
        <f>SUMIF(Table2[Product_Name],F217,Table2[[#All],[Quantity]])</f>
        <v>43</v>
      </c>
    </row>
    <row r="216" spans="1:18" ht="15.75" customHeight="1" x14ac:dyDescent="0.3">
      <c r="A216" s="5" t="s">
        <v>363</v>
      </c>
      <c r="B216" s="6">
        <v>45708</v>
      </c>
      <c r="C216" s="5" t="s">
        <v>98</v>
      </c>
      <c r="D216" s="5" t="s">
        <v>99</v>
      </c>
      <c r="E216" s="5" t="s">
        <v>63</v>
      </c>
      <c r="F216" s="5" t="s">
        <v>64</v>
      </c>
      <c r="G216" s="5" t="s">
        <v>21</v>
      </c>
      <c r="H216" s="5">
        <v>3</v>
      </c>
      <c r="I216" s="5">
        <v>899.99</v>
      </c>
      <c r="J216" s="5" t="s">
        <v>22</v>
      </c>
      <c r="K216" s="5" t="s">
        <v>65</v>
      </c>
      <c r="L216" s="5" t="s">
        <v>38</v>
      </c>
      <c r="M216" s="6">
        <v>44613</v>
      </c>
      <c r="N216" s="5">
        <v>2699.97</v>
      </c>
      <c r="O216" s="5" t="str">
        <f>TEXT(Table2[[#This Row],[Date]],"mmm")</f>
        <v>Feb</v>
      </c>
      <c r="R216">
        <f>SUMIF(Table2[Product_Name],F218,Table2[[#All],[Quantity]])</f>
        <v>67</v>
      </c>
    </row>
    <row r="217" spans="1:18" ht="15.75" customHeight="1" x14ac:dyDescent="0.3">
      <c r="A217" s="5" t="s">
        <v>364</v>
      </c>
      <c r="B217" s="6">
        <v>45708</v>
      </c>
      <c r="C217" s="5" t="s">
        <v>194</v>
      </c>
      <c r="D217" s="5" t="s">
        <v>195</v>
      </c>
      <c r="E217" s="5" t="s">
        <v>128</v>
      </c>
      <c r="F217" s="5" t="s">
        <v>129</v>
      </c>
      <c r="G217" s="5" t="s">
        <v>48</v>
      </c>
      <c r="H217" s="5">
        <v>3</v>
      </c>
      <c r="I217" s="5">
        <v>199.99</v>
      </c>
      <c r="J217" s="5" t="s">
        <v>22</v>
      </c>
      <c r="K217" s="5" t="s">
        <v>52</v>
      </c>
      <c r="L217" s="5" t="s">
        <v>29</v>
      </c>
      <c r="M217" s="6">
        <v>44823</v>
      </c>
      <c r="N217" s="5">
        <v>599.97</v>
      </c>
      <c r="O217" s="5" t="str">
        <f>TEXT(Table2[[#This Row],[Date]],"mmm")</f>
        <v>Feb</v>
      </c>
      <c r="R217">
        <f>SUMIF(Table2[Product_Name],F219,Table2[[#All],[Quantity]])</f>
        <v>84</v>
      </c>
    </row>
    <row r="218" spans="1:18" ht="15.75" customHeight="1" x14ac:dyDescent="0.3">
      <c r="A218" s="5" t="s">
        <v>365</v>
      </c>
      <c r="B218" s="6">
        <v>45710</v>
      </c>
      <c r="C218" s="5" t="s">
        <v>57</v>
      </c>
      <c r="D218" s="5" t="s">
        <v>58</v>
      </c>
      <c r="E218" s="5" t="s">
        <v>107</v>
      </c>
      <c r="F218" s="5" t="s">
        <v>108</v>
      </c>
      <c r="G218" s="5" t="s">
        <v>48</v>
      </c>
      <c r="H218" s="5">
        <v>5</v>
      </c>
      <c r="I218" s="5">
        <v>299.99</v>
      </c>
      <c r="J218" s="5" t="s">
        <v>22</v>
      </c>
      <c r="K218" s="5" t="s">
        <v>52</v>
      </c>
      <c r="L218" s="5" t="s">
        <v>38</v>
      </c>
      <c r="M218" s="6">
        <v>45142</v>
      </c>
      <c r="N218" s="5">
        <v>1499.95</v>
      </c>
      <c r="O218" s="5" t="str">
        <f>TEXT(Table2[[#This Row],[Date]],"mmm")</f>
        <v>Feb</v>
      </c>
      <c r="R218">
        <f>SUMIF(Table2[Product_Name],F220,Table2[[#All],[Quantity]])</f>
        <v>84</v>
      </c>
    </row>
    <row r="219" spans="1:18" ht="15.75" customHeight="1" x14ac:dyDescent="0.3">
      <c r="A219" s="5" t="s">
        <v>366</v>
      </c>
      <c r="B219" s="6">
        <v>45710</v>
      </c>
      <c r="C219" s="5" t="s">
        <v>152</v>
      </c>
      <c r="D219" s="5" t="s">
        <v>153</v>
      </c>
      <c r="E219" s="5" t="s">
        <v>82</v>
      </c>
      <c r="F219" s="5" t="s">
        <v>83</v>
      </c>
      <c r="G219" s="5" t="s">
        <v>21</v>
      </c>
      <c r="H219" s="5">
        <v>1</v>
      </c>
      <c r="I219" s="5">
        <v>699.99</v>
      </c>
      <c r="J219" s="5" t="s">
        <v>36</v>
      </c>
      <c r="K219" s="5" t="s">
        <v>52</v>
      </c>
      <c r="L219" s="5" t="s">
        <v>24</v>
      </c>
      <c r="M219" s="6">
        <v>44934</v>
      </c>
      <c r="N219" s="5">
        <v>699.99</v>
      </c>
      <c r="O219" s="5" t="str">
        <f>TEXT(Table2[[#This Row],[Date]],"mmm")</f>
        <v>Feb</v>
      </c>
      <c r="R219">
        <f>SUMIF(Table2[Product_Name],F221,Table2[[#All],[Quantity]])</f>
        <v>108</v>
      </c>
    </row>
    <row r="220" spans="1:18" ht="15.75" customHeight="1" x14ac:dyDescent="0.3">
      <c r="A220" s="5" t="s">
        <v>367</v>
      </c>
      <c r="B220" s="6">
        <v>45711</v>
      </c>
      <c r="C220" s="5" t="s">
        <v>248</v>
      </c>
      <c r="D220" s="5" t="s">
        <v>249</v>
      </c>
      <c r="E220" s="5" t="s">
        <v>82</v>
      </c>
      <c r="F220" s="5" t="s">
        <v>83</v>
      </c>
      <c r="G220" s="5" t="s">
        <v>21</v>
      </c>
      <c r="H220" s="5">
        <v>1</v>
      </c>
      <c r="I220" s="5">
        <v>699.99</v>
      </c>
      <c r="J220" s="5" t="s">
        <v>22</v>
      </c>
      <c r="K220" s="5" t="s">
        <v>42</v>
      </c>
      <c r="L220" s="5" t="s">
        <v>29</v>
      </c>
      <c r="M220" s="6">
        <v>44583</v>
      </c>
      <c r="N220" s="5">
        <v>699.99</v>
      </c>
      <c r="O220" s="5" t="str">
        <f>TEXT(Table2[[#This Row],[Date]],"mmm")</f>
        <v>Feb</v>
      </c>
      <c r="R220">
        <f>SUMIF(Table2[Product_Name],F222,Table2[[#All],[Quantity]])</f>
        <v>99</v>
      </c>
    </row>
    <row r="221" spans="1:18" ht="15.75" customHeight="1" x14ac:dyDescent="0.3">
      <c r="A221" s="5" t="s">
        <v>368</v>
      </c>
      <c r="B221" s="6">
        <v>45711</v>
      </c>
      <c r="C221" s="5" t="s">
        <v>327</v>
      </c>
      <c r="D221" s="5" t="s">
        <v>328</v>
      </c>
      <c r="E221" s="5" t="s">
        <v>46</v>
      </c>
      <c r="F221" s="5" t="s">
        <v>47</v>
      </c>
      <c r="G221" s="5" t="s">
        <v>48</v>
      </c>
      <c r="H221" s="5">
        <v>4</v>
      </c>
      <c r="I221" s="5">
        <v>149.99</v>
      </c>
      <c r="J221" s="5" t="s">
        <v>36</v>
      </c>
      <c r="K221" s="5" t="s">
        <v>42</v>
      </c>
      <c r="L221" s="5" t="s">
        <v>29</v>
      </c>
      <c r="M221" s="6">
        <v>44412</v>
      </c>
      <c r="N221" s="5">
        <v>599.96</v>
      </c>
      <c r="O221" s="5" t="str">
        <f>TEXT(Table2[[#This Row],[Date]],"mmm")</f>
        <v>Feb</v>
      </c>
      <c r="R221">
        <f>SUMIF(Table2[Product_Name],F223,Table2[[#All],[Quantity]])</f>
        <v>43</v>
      </c>
    </row>
    <row r="222" spans="1:18" ht="15.75" customHeight="1" x14ac:dyDescent="0.3">
      <c r="A222" s="5" t="s">
        <v>369</v>
      </c>
      <c r="B222" s="6">
        <v>45711</v>
      </c>
      <c r="C222" s="5" t="s">
        <v>213</v>
      </c>
      <c r="D222" s="5" t="s">
        <v>214</v>
      </c>
      <c r="E222" s="5" t="s">
        <v>119</v>
      </c>
      <c r="F222" s="5" t="s">
        <v>120</v>
      </c>
      <c r="G222" s="5" t="s">
        <v>21</v>
      </c>
      <c r="H222" s="5">
        <v>5</v>
      </c>
      <c r="I222" s="5">
        <v>89.99</v>
      </c>
      <c r="J222" s="5" t="s">
        <v>36</v>
      </c>
      <c r="K222" s="5" t="s">
        <v>52</v>
      </c>
      <c r="L222" s="5" t="s">
        <v>29</v>
      </c>
      <c r="M222" s="6">
        <v>45140</v>
      </c>
      <c r="N222" s="5">
        <v>449.95</v>
      </c>
      <c r="O222" s="5" t="str">
        <f>TEXT(Table2[[#This Row],[Date]],"mmm")</f>
        <v>Feb</v>
      </c>
      <c r="R222">
        <f>SUMIF(Table2[Product_Name],F224,Table2[[#All],[Quantity]])</f>
        <v>98</v>
      </c>
    </row>
    <row r="223" spans="1:18" ht="15.75" customHeight="1" x14ac:dyDescent="0.3">
      <c r="A223" s="5" t="s">
        <v>370</v>
      </c>
      <c r="B223" s="6">
        <v>45712</v>
      </c>
      <c r="C223" s="5" t="s">
        <v>140</v>
      </c>
      <c r="D223" s="5" t="s">
        <v>141</v>
      </c>
      <c r="E223" s="5" t="s">
        <v>128</v>
      </c>
      <c r="F223" s="5" t="s">
        <v>129</v>
      </c>
      <c r="G223" s="5" t="s">
        <v>48</v>
      </c>
      <c r="H223" s="5">
        <v>2</v>
      </c>
      <c r="I223" s="5">
        <v>199.99</v>
      </c>
      <c r="J223" s="5" t="s">
        <v>22</v>
      </c>
      <c r="K223" s="5" t="s">
        <v>23</v>
      </c>
      <c r="L223" s="5" t="s">
        <v>29</v>
      </c>
      <c r="M223" s="6">
        <v>44573</v>
      </c>
      <c r="N223" s="5">
        <v>399.98</v>
      </c>
      <c r="O223" s="5" t="str">
        <f>TEXT(Table2[[#This Row],[Date]],"mmm")</f>
        <v>Feb</v>
      </c>
      <c r="R223">
        <f>SUMIF(Table2[Product_Name],F225,Table2[[#All],[Quantity]])</f>
        <v>67</v>
      </c>
    </row>
    <row r="224" spans="1:18" ht="15.75" customHeight="1" x14ac:dyDescent="0.3">
      <c r="A224" s="5" t="s">
        <v>371</v>
      </c>
      <c r="B224" s="6">
        <v>45715</v>
      </c>
      <c r="C224" s="5" t="s">
        <v>261</v>
      </c>
      <c r="D224" s="5" t="s">
        <v>262</v>
      </c>
      <c r="E224" s="5" t="s">
        <v>33</v>
      </c>
      <c r="F224" s="5" t="s">
        <v>34</v>
      </c>
      <c r="G224" s="5" t="s">
        <v>35</v>
      </c>
      <c r="H224" s="5">
        <v>4</v>
      </c>
      <c r="I224" s="5">
        <v>59.99</v>
      </c>
      <c r="J224" s="5" t="s">
        <v>22</v>
      </c>
      <c r="K224" s="5" t="s">
        <v>52</v>
      </c>
      <c r="L224" s="5" t="s">
        <v>38</v>
      </c>
      <c r="M224" s="6">
        <v>45070</v>
      </c>
      <c r="N224" s="5">
        <v>239.96</v>
      </c>
      <c r="O224" s="5" t="str">
        <f>TEXT(Table2[[#This Row],[Date]],"mmm")</f>
        <v>Feb</v>
      </c>
      <c r="R224">
        <f>SUMIF(Table2[Product_Name],F226,Table2[[#All],[Quantity]])</f>
        <v>108</v>
      </c>
    </row>
    <row r="225" spans="1:18" ht="15.75" customHeight="1" x14ac:dyDescent="0.3">
      <c r="A225" s="5" t="s">
        <v>372</v>
      </c>
      <c r="B225" s="6">
        <v>45715</v>
      </c>
      <c r="C225" s="5" t="s">
        <v>95</v>
      </c>
      <c r="D225" s="5" t="s">
        <v>96</v>
      </c>
      <c r="E225" s="5" t="s">
        <v>107</v>
      </c>
      <c r="F225" s="5" t="s">
        <v>108</v>
      </c>
      <c r="G225" s="5" t="s">
        <v>48</v>
      </c>
      <c r="H225" s="5">
        <v>2</v>
      </c>
      <c r="I225" s="5">
        <v>299.99</v>
      </c>
      <c r="J225" s="5" t="s">
        <v>36</v>
      </c>
      <c r="K225" s="5" t="s">
        <v>37</v>
      </c>
      <c r="L225" s="5" t="s">
        <v>24</v>
      </c>
      <c r="M225" s="6">
        <v>44576</v>
      </c>
      <c r="N225" s="5">
        <v>599.98</v>
      </c>
      <c r="O225" s="5" t="str">
        <f>TEXT(Table2[[#This Row],[Date]],"mmm")</f>
        <v>Feb</v>
      </c>
      <c r="R225">
        <f>SUMIF(Table2[Product_Name],F227,Table2[[#All],[Quantity]])</f>
        <v>84</v>
      </c>
    </row>
    <row r="226" spans="1:18" ht="15.75" customHeight="1" x14ac:dyDescent="0.3">
      <c r="A226" s="5" t="s">
        <v>373</v>
      </c>
      <c r="B226" s="6">
        <v>45718</v>
      </c>
      <c r="C226" s="5" t="s">
        <v>57</v>
      </c>
      <c r="D226" s="5" t="s">
        <v>58</v>
      </c>
      <c r="E226" s="5" t="s">
        <v>46</v>
      </c>
      <c r="F226" s="5" t="s">
        <v>47</v>
      </c>
      <c r="G226" s="5" t="s">
        <v>48</v>
      </c>
      <c r="H226" s="5">
        <v>2</v>
      </c>
      <c r="I226" s="5">
        <v>149.99</v>
      </c>
      <c r="J226" s="5" t="s">
        <v>22</v>
      </c>
      <c r="K226" s="5" t="s">
        <v>23</v>
      </c>
      <c r="L226" s="5" t="s">
        <v>24</v>
      </c>
      <c r="M226" s="6">
        <v>45068</v>
      </c>
      <c r="N226" s="5">
        <v>299.98</v>
      </c>
      <c r="O226" s="5" t="str">
        <f>TEXT(Table2[[#This Row],[Date]],"mmm")</f>
        <v>Mar</v>
      </c>
      <c r="R226">
        <f>SUMIF(Table2[Product_Name],F228,Table2[[#All],[Quantity]])</f>
        <v>98</v>
      </c>
    </row>
    <row r="227" spans="1:18" ht="15.75" customHeight="1" x14ac:dyDescent="0.3">
      <c r="A227" s="5" t="s">
        <v>374</v>
      </c>
      <c r="B227" s="6">
        <v>45720</v>
      </c>
      <c r="C227" s="5" t="s">
        <v>228</v>
      </c>
      <c r="D227" s="5" t="s">
        <v>229</v>
      </c>
      <c r="E227" s="5" t="s">
        <v>82</v>
      </c>
      <c r="F227" s="5" t="s">
        <v>83</v>
      </c>
      <c r="G227" s="5" t="s">
        <v>21</v>
      </c>
      <c r="H227" s="5">
        <v>5</v>
      </c>
      <c r="I227" s="5">
        <v>699.99</v>
      </c>
      <c r="J227" s="5" t="s">
        <v>59</v>
      </c>
      <c r="K227" s="5" t="s">
        <v>65</v>
      </c>
      <c r="L227" s="5" t="s">
        <v>29</v>
      </c>
      <c r="M227" s="6">
        <v>45161</v>
      </c>
      <c r="N227" s="5">
        <v>3499.95</v>
      </c>
      <c r="O227" s="5" t="str">
        <f>TEXT(Table2[[#This Row],[Date]],"mmm")</f>
        <v>Mar</v>
      </c>
      <c r="R227">
        <f>SUMIF(Table2[Product_Name],F229,Table2[[#All],[Quantity]])</f>
        <v>99</v>
      </c>
    </row>
    <row r="228" spans="1:18" ht="15.75" customHeight="1" x14ac:dyDescent="0.3">
      <c r="A228" s="5" t="s">
        <v>375</v>
      </c>
      <c r="B228" s="6">
        <v>45721</v>
      </c>
      <c r="C228" s="5" t="s">
        <v>77</v>
      </c>
      <c r="D228" s="5" t="s">
        <v>78</v>
      </c>
      <c r="E228" s="5" t="s">
        <v>33</v>
      </c>
      <c r="F228" s="5" t="s">
        <v>34</v>
      </c>
      <c r="G228" s="5" t="s">
        <v>35</v>
      </c>
      <c r="H228" s="5">
        <v>5</v>
      </c>
      <c r="I228" s="5">
        <v>59.99</v>
      </c>
      <c r="J228" s="5" t="s">
        <v>22</v>
      </c>
      <c r="K228" s="5" t="s">
        <v>52</v>
      </c>
      <c r="L228" s="5" t="s">
        <v>29</v>
      </c>
      <c r="M228" s="6">
        <v>45291</v>
      </c>
      <c r="N228" s="5">
        <v>299.95</v>
      </c>
      <c r="O228" s="5" t="str">
        <f>TEXT(Table2[[#This Row],[Date]],"mmm")</f>
        <v>Mar</v>
      </c>
      <c r="R228">
        <f>SUMIF(Table2[Product_Name],F230,Table2[[#All],[Quantity]])</f>
        <v>86</v>
      </c>
    </row>
    <row r="229" spans="1:18" ht="15.75" customHeight="1" x14ac:dyDescent="0.3">
      <c r="A229" s="5" t="s">
        <v>376</v>
      </c>
      <c r="B229" s="6">
        <v>45723</v>
      </c>
      <c r="C229" s="5" t="s">
        <v>17</v>
      </c>
      <c r="D229" s="5" t="s">
        <v>18</v>
      </c>
      <c r="E229" s="5" t="s">
        <v>119</v>
      </c>
      <c r="F229" s="5" t="s">
        <v>120</v>
      </c>
      <c r="G229" s="5" t="s">
        <v>21</v>
      </c>
      <c r="H229" s="5">
        <v>2</v>
      </c>
      <c r="I229" s="5">
        <v>89.99</v>
      </c>
      <c r="J229" s="5" t="s">
        <v>28</v>
      </c>
      <c r="K229" s="5" t="s">
        <v>52</v>
      </c>
      <c r="L229" s="5" t="s">
        <v>29</v>
      </c>
      <c r="M229" s="6">
        <v>45295</v>
      </c>
      <c r="N229" s="5">
        <v>179.98</v>
      </c>
      <c r="O229" s="5" t="str">
        <f>TEXT(Table2[[#This Row],[Date]],"mmm")</f>
        <v>Mar</v>
      </c>
      <c r="R229">
        <f>SUMIF(Table2[Product_Name],F231,Table2[[#All],[Quantity]])</f>
        <v>108</v>
      </c>
    </row>
    <row r="230" spans="1:18" ht="15.75" customHeight="1" x14ac:dyDescent="0.3">
      <c r="A230" s="5" t="s">
        <v>377</v>
      </c>
      <c r="B230" s="6">
        <v>45723</v>
      </c>
      <c r="C230" s="5" t="s">
        <v>122</v>
      </c>
      <c r="D230" s="5" t="s">
        <v>123</v>
      </c>
      <c r="E230" s="5" t="s">
        <v>19</v>
      </c>
      <c r="F230" s="5" t="s">
        <v>20</v>
      </c>
      <c r="G230" s="5" t="s">
        <v>21</v>
      </c>
      <c r="H230" s="5">
        <v>5</v>
      </c>
      <c r="I230" s="5">
        <v>249.99</v>
      </c>
      <c r="J230" s="5" t="s">
        <v>22</v>
      </c>
      <c r="K230" s="5" t="s">
        <v>65</v>
      </c>
      <c r="L230" s="5" t="s">
        <v>38</v>
      </c>
      <c r="M230" s="6">
        <v>44540</v>
      </c>
      <c r="N230" s="5">
        <v>1249.95</v>
      </c>
      <c r="O230" s="5" t="str">
        <f>TEXT(Table2[[#This Row],[Date]],"mmm")</f>
        <v>Mar</v>
      </c>
      <c r="R230">
        <f>SUMIF(Table2[Product_Name],F232,Table2[[#All],[Quantity]])</f>
        <v>67</v>
      </c>
    </row>
    <row r="231" spans="1:18" ht="15.75" customHeight="1" x14ac:dyDescent="0.3">
      <c r="A231" s="5" t="s">
        <v>378</v>
      </c>
      <c r="B231" s="6">
        <v>45724</v>
      </c>
      <c r="C231" s="5" t="s">
        <v>228</v>
      </c>
      <c r="D231" s="5" t="s">
        <v>229</v>
      </c>
      <c r="E231" s="5" t="s">
        <v>46</v>
      </c>
      <c r="F231" s="5" t="s">
        <v>47</v>
      </c>
      <c r="G231" s="5" t="s">
        <v>48</v>
      </c>
      <c r="H231" s="5">
        <v>2</v>
      </c>
      <c r="I231" s="5">
        <v>149.99</v>
      </c>
      <c r="J231" s="5" t="s">
        <v>36</v>
      </c>
      <c r="K231" s="5" t="s">
        <v>23</v>
      </c>
      <c r="L231" s="5" t="s">
        <v>29</v>
      </c>
      <c r="M231" s="6">
        <v>44632</v>
      </c>
      <c r="N231" s="5">
        <v>299.98</v>
      </c>
      <c r="O231" s="5" t="str">
        <f>TEXT(Table2[[#This Row],[Date]],"mmm")</f>
        <v>Mar</v>
      </c>
      <c r="R231">
        <f>SUMIF(Table2[Product_Name],F233,Table2[[#All],[Quantity]])</f>
        <v>108</v>
      </c>
    </row>
    <row r="232" spans="1:18" ht="15.75" customHeight="1" x14ac:dyDescent="0.3">
      <c r="A232" s="5" t="s">
        <v>379</v>
      </c>
      <c r="B232" s="6">
        <v>45724</v>
      </c>
      <c r="C232" s="5" t="s">
        <v>146</v>
      </c>
      <c r="D232" s="5" t="s">
        <v>147</v>
      </c>
      <c r="E232" s="5" t="s">
        <v>63</v>
      </c>
      <c r="F232" s="5" t="s">
        <v>64</v>
      </c>
      <c r="G232" s="5" t="s">
        <v>21</v>
      </c>
      <c r="H232" s="5">
        <v>5</v>
      </c>
      <c r="I232" s="5">
        <v>899.99</v>
      </c>
      <c r="J232" s="5" t="s">
        <v>36</v>
      </c>
      <c r="K232" s="5" t="s">
        <v>65</v>
      </c>
      <c r="L232" s="5" t="s">
        <v>29</v>
      </c>
      <c r="M232" s="6">
        <v>45389</v>
      </c>
      <c r="N232" s="5">
        <v>4499.95</v>
      </c>
      <c r="O232" s="5" t="str">
        <f>TEXT(Table2[[#This Row],[Date]],"mmm")</f>
        <v>Mar</v>
      </c>
      <c r="R232">
        <f>SUMIF(Table2[Product_Name],F234,Table2[[#All],[Quantity]])</f>
        <v>86</v>
      </c>
    </row>
    <row r="233" spans="1:18" ht="15.75" customHeight="1" x14ac:dyDescent="0.3">
      <c r="A233" s="5" t="s">
        <v>380</v>
      </c>
      <c r="B233" s="6">
        <v>45724</v>
      </c>
      <c r="C233" s="5" t="s">
        <v>57</v>
      </c>
      <c r="D233" s="5" t="s">
        <v>58</v>
      </c>
      <c r="E233" s="5" t="s">
        <v>46</v>
      </c>
      <c r="F233" s="5" t="s">
        <v>47</v>
      </c>
      <c r="G233" s="5" t="s">
        <v>48</v>
      </c>
      <c r="H233" s="5">
        <v>4</v>
      </c>
      <c r="I233" s="5">
        <v>149.99</v>
      </c>
      <c r="J233" s="5" t="s">
        <v>22</v>
      </c>
      <c r="K233" s="5" t="s">
        <v>23</v>
      </c>
      <c r="L233" s="5" t="s">
        <v>38</v>
      </c>
      <c r="M233" s="6">
        <v>45263</v>
      </c>
      <c r="N233" s="5">
        <v>599.96</v>
      </c>
      <c r="O233" s="5" t="str">
        <f>TEXT(Table2[[#This Row],[Date]],"mmm")</f>
        <v>Mar</v>
      </c>
      <c r="R233">
        <f>SUMIF(Table2[Product_Name],F235,Table2[[#All],[Quantity]])</f>
        <v>98</v>
      </c>
    </row>
    <row r="234" spans="1:18" ht="15.75" customHeight="1" x14ac:dyDescent="0.3">
      <c r="A234" s="5" t="s">
        <v>381</v>
      </c>
      <c r="B234" s="6">
        <v>45726</v>
      </c>
      <c r="C234" s="5" t="s">
        <v>146</v>
      </c>
      <c r="D234" s="5" t="s">
        <v>147</v>
      </c>
      <c r="E234" s="5" t="s">
        <v>19</v>
      </c>
      <c r="F234" s="5" t="s">
        <v>20</v>
      </c>
      <c r="G234" s="5" t="s">
        <v>21</v>
      </c>
      <c r="H234" s="5">
        <v>1</v>
      </c>
      <c r="I234" s="5">
        <v>249.99</v>
      </c>
      <c r="J234" s="5" t="s">
        <v>22</v>
      </c>
      <c r="K234" s="5" t="s">
        <v>42</v>
      </c>
      <c r="L234" s="5" t="s">
        <v>38</v>
      </c>
      <c r="M234" s="6">
        <v>45117</v>
      </c>
      <c r="N234" s="5">
        <v>249.99</v>
      </c>
      <c r="O234" s="5" t="str">
        <f>TEXT(Table2[[#This Row],[Date]],"mmm")</f>
        <v>Mar</v>
      </c>
      <c r="R234">
        <f>SUMIF(Table2[Product_Name],F236,Table2[[#All],[Quantity]])</f>
        <v>108</v>
      </c>
    </row>
    <row r="235" spans="1:18" ht="15.75" customHeight="1" x14ac:dyDescent="0.3">
      <c r="A235" s="5" t="s">
        <v>382</v>
      </c>
      <c r="B235" s="6">
        <v>45734</v>
      </c>
      <c r="C235" s="5" t="s">
        <v>194</v>
      </c>
      <c r="D235" s="5" t="s">
        <v>195</v>
      </c>
      <c r="E235" s="5" t="s">
        <v>33</v>
      </c>
      <c r="F235" s="5" t="s">
        <v>34</v>
      </c>
      <c r="G235" s="5" t="s">
        <v>35</v>
      </c>
      <c r="H235" s="5">
        <v>2</v>
      </c>
      <c r="I235" s="5">
        <v>59.99</v>
      </c>
      <c r="J235" s="5" t="s">
        <v>28</v>
      </c>
      <c r="K235" s="5" t="s">
        <v>52</v>
      </c>
      <c r="L235" s="5" t="s">
        <v>24</v>
      </c>
      <c r="M235" s="6">
        <v>45193</v>
      </c>
      <c r="N235" s="5">
        <v>119.98</v>
      </c>
      <c r="O235" s="5" t="str">
        <f>TEXT(Table2[[#This Row],[Date]],"mmm")</f>
        <v>Mar</v>
      </c>
      <c r="R235">
        <f>SUMIF(Table2[Product_Name],F237,Table2[[#All],[Quantity]])</f>
        <v>67</v>
      </c>
    </row>
    <row r="236" spans="1:18" ht="15.75" customHeight="1" x14ac:dyDescent="0.3">
      <c r="A236" s="5" t="s">
        <v>383</v>
      </c>
      <c r="B236" s="6">
        <v>45737</v>
      </c>
      <c r="C236" s="5" t="s">
        <v>134</v>
      </c>
      <c r="D236" s="5" t="s">
        <v>135</v>
      </c>
      <c r="E236" s="5" t="s">
        <v>46</v>
      </c>
      <c r="F236" s="5" t="s">
        <v>47</v>
      </c>
      <c r="G236" s="5" t="s">
        <v>48</v>
      </c>
      <c r="H236" s="5">
        <v>2</v>
      </c>
      <c r="I236" s="5">
        <v>149.99</v>
      </c>
      <c r="J236" s="5" t="s">
        <v>22</v>
      </c>
      <c r="K236" s="5" t="s">
        <v>52</v>
      </c>
      <c r="L236" s="5" t="s">
        <v>29</v>
      </c>
      <c r="M236" s="6">
        <v>45233</v>
      </c>
      <c r="N236" s="5">
        <v>299.98</v>
      </c>
      <c r="O236" s="5" t="str">
        <f>TEXT(Table2[[#This Row],[Date]],"mmm")</f>
        <v>Mar</v>
      </c>
      <c r="R236">
        <f>SUMIF(Table2[Product_Name],F238,Table2[[#All],[Quantity]])</f>
        <v>67</v>
      </c>
    </row>
    <row r="237" spans="1:18" ht="15.75" customHeight="1" x14ac:dyDescent="0.3">
      <c r="A237" s="5" t="s">
        <v>384</v>
      </c>
      <c r="B237" s="6">
        <v>45737</v>
      </c>
      <c r="C237" s="5" t="s">
        <v>152</v>
      </c>
      <c r="D237" s="5" t="s">
        <v>153</v>
      </c>
      <c r="E237" s="5" t="s">
        <v>63</v>
      </c>
      <c r="F237" s="5" t="s">
        <v>64</v>
      </c>
      <c r="G237" s="5" t="s">
        <v>21</v>
      </c>
      <c r="H237" s="5">
        <v>3</v>
      </c>
      <c r="I237" s="5">
        <v>899.99</v>
      </c>
      <c r="J237" s="5" t="s">
        <v>59</v>
      </c>
      <c r="K237" s="5" t="s">
        <v>42</v>
      </c>
      <c r="L237" s="5" t="s">
        <v>29</v>
      </c>
      <c r="M237" s="6">
        <v>44876</v>
      </c>
      <c r="N237" s="5">
        <v>2699.97</v>
      </c>
      <c r="O237" s="5" t="str">
        <f>TEXT(Table2[[#This Row],[Date]],"mmm")</f>
        <v>Mar</v>
      </c>
      <c r="R237">
        <f>SUMIF(Table2[Product_Name],F239,Table2[[#All],[Quantity]])</f>
        <v>67</v>
      </c>
    </row>
    <row r="238" spans="1:18" ht="15.75" customHeight="1" x14ac:dyDescent="0.3">
      <c r="A238" s="5" t="s">
        <v>385</v>
      </c>
      <c r="B238" s="6">
        <v>45737</v>
      </c>
      <c r="C238" s="5" t="s">
        <v>50</v>
      </c>
      <c r="D238" s="5" t="s">
        <v>51</v>
      </c>
      <c r="E238" s="5" t="s">
        <v>63</v>
      </c>
      <c r="F238" s="5" t="s">
        <v>64</v>
      </c>
      <c r="G238" s="5" t="s">
        <v>21</v>
      </c>
      <c r="H238" s="5">
        <v>3</v>
      </c>
      <c r="I238" s="5">
        <v>899.99</v>
      </c>
      <c r="J238" s="5" t="s">
        <v>36</v>
      </c>
      <c r="K238" s="5" t="s">
        <v>42</v>
      </c>
      <c r="L238" s="5" t="s">
        <v>24</v>
      </c>
      <c r="M238" s="6">
        <v>44975</v>
      </c>
      <c r="N238" s="5">
        <v>2699.97</v>
      </c>
      <c r="O238" s="5" t="str">
        <f>TEXT(Table2[[#This Row],[Date]],"mmm")</f>
        <v>Mar</v>
      </c>
      <c r="R238">
        <f>SUMIF(Table2[Product_Name],F240,Table2[[#All],[Quantity]])</f>
        <v>108</v>
      </c>
    </row>
    <row r="239" spans="1:18" ht="15.75" customHeight="1" x14ac:dyDescent="0.3">
      <c r="A239" s="5" t="s">
        <v>386</v>
      </c>
      <c r="B239" s="6">
        <v>45739</v>
      </c>
      <c r="C239" s="5" t="s">
        <v>17</v>
      </c>
      <c r="D239" s="5" t="s">
        <v>18</v>
      </c>
      <c r="E239" s="5" t="s">
        <v>107</v>
      </c>
      <c r="F239" s="5" t="s">
        <v>108</v>
      </c>
      <c r="G239" s="5" t="s">
        <v>48</v>
      </c>
      <c r="H239" s="5">
        <v>3</v>
      </c>
      <c r="I239" s="5">
        <v>299.99</v>
      </c>
      <c r="J239" s="5" t="s">
        <v>28</v>
      </c>
      <c r="K239" s="5" t="s">
        <v>52</v>
      </c>
      <c r="L239" s="5" t="s">
        <v>29</v>
      </c>
      <c r="M239" s="6">
        <v>45234</v>
      </c>
      <c r="N239" s="5">
        <v>899.97</v>
      </c>
      <c r="O239" s="5" t="str">
        <f>TEXT(Table2[[#This Row],[Date]],"mmm")</f>
        <v>Mar</v>
      </c>
      <c r="R239">
        <f>SUMIF(Table2[Product_Name],F241,Table2[[#All],[Quantity]])</f>
        <v>50</v>
      </c>
    </row>
    <row r="240" spans="1:18" ht="15.75" customHeight="1" x14ac:dyDescent="0.3">
      <c r="A240" s="5" t="s">
        <v>387</v>
      </c>
      <c r="B240" s="6">
        <v>45740</v>
      </c>
      <c r="C240" s="5" t="s">
        <v>388</v>
      </c>
      <c r="D240" s="5" t="s">
        <v>389</v>
      </c>
      <c r="E240" s="5" t="s">
        <v>46</v>
      </c>
      <c r="F240" s="5" t="s">
        <v>47</v>
      </c>
      <c r="G240" s="5" t="s">
        <v>48</v>
      </c>
      <c r="H240" s="5">
        <v>4</v>
      </c>
      <c r="I240" s="5">
        <v>149.99</v>
      </c>
      <c r="J240" s="5" t="s">
        <v>36</v>
      </c>
      <c r="K240" s="5" t="s">
        <v>52</v>
      </c>
      <c r="L240" s="5" t="s">
        <v>38</v>
      </c>
      <c r="M240" s="6">
        <v>44560</v>
      </c>
      <c r="N240" s="5">
        <v>599.96</v>
      </c>
      <c r="O240" s="5" t="str">
        <f>TEXT(Table2[[#This Row],[Date]],"mmm")</f>
        <v>Mar</v>
      </c>
      <c r="R240">
        <f>SUMIF(Table2[Product_Name],F242,Table2[[#All],[Quantity]])</f>
        <v>99</v>
      </c>
    </row>
    <row r="241" spans="1:18" ht="15.75" customHeight="1" x14ac:dyDescent="0.3">
      <c r="A241" s="5" t="s">
        <v>390</v>
      </c>
      <c r="B241" s="6">
        <v>45743</v>
      </c>
      <c r="C241" s="5" t="s">
        <v>104</v>
      </c>
      <c r="D241" s="5" t="s">
        <v>105</v>
      </c>
      <c r="E241" s="5" t="s">
        <v>116</v>
      </c>
      <c r="F241" s="5" t="s">
        <v>117</v>
      </c>
      <c r="G241" s="5" t="s">
        <v>35</v>
      </c>
      <c r="H241" s="5">
        <v>4</v>
      </c>
      <c r="I241" s="5">
        <v>79.989999999999995</v>
      </c>
      <c r="J241" s="5" t="s">
        <v>28</v>
      </c>
      <c r="K241" s="5" t="s">
        <v>23</v>
      </c>
      <c r="L241" s="5" t="s">
        <v>24</v>
      </c>
      <c r="M241" s="6">
        <v>45288</v>
      </c>
      <c r="N241" s="5">
        <v>319.95999999999998</v>
      </c>
      <c r="O241" s="5" t="str">
        <f>TEXT(Table2[[#This Row],[Date]],"mmm")</f>
        <v>Mar</v>
      </c>
      <c r="R241">
        <f>SUMIF(Table2[Product_Name],F243,Table2[[#All],[Quantity]])</f>
        <v>108</v>
      </c>
    </row>
    <row r="242" spans="1:18" ht="15.75" customHeight="1" x14ac:dyDescent="0.3">
      <c r="A242" s="5" t="s">
        <v>391</v>
      </c>
      <c r="B242" s="6">
        <v>45745</v>
      </c>
      <c r="C242" s="5" t="s">
        <v>187</v>
      </c>
      <c r="D242" s="5" t="s">
        <v>188</v>
      </c>
      <c r="E242" s="5" t="s">
        <v>119</v>
      </c>
      <c r="F242" s="5" t="s">
        <v>120</v>
      </c>
      <c r="G242" s="5" t="s">
        <v>21</v>
      </c>
      <c r="H242" s="5">
        <v>5</v>
      </c>
      <c r="I242" s="5">
        <v>89.99</v>
      </c>
      <c r="J242" s="5" t="s">
        <v>36</v>
      </c>
      <c r="K242" s="5" t="s">
        <v>37</v>
      </c>
      <c r="L242" s="5" t="s">
        <v>24</v>
      </c>
      <c r="M242" s="6">
        <v>44704</v>
      </c>
      <c r="N242" s="5">
        <v>449.95</v>
      </c>
      <c r="O242" s="5" t="str">
        <f>TEXT(Table2[[#This Row],[Date]],"mmm")</f>
        <v>Mar</v>
      </c>
      <c r="R242">
        <f>SUMIF(Table2[Product_Name],F244,Table2[[#All],[Quantity]])</f>
        <v>99</v>
      </c>
    </row>
    <row r="243" spans="1:18" ht="15.75" customHeight="1" x14ac:dyDescent="0.3">
      <c r="A243" s="5" t="s">
        <v>392</v>
      </c>
      <c r="B243" s="6">
        <v>45746</v>
      </c>
      <c r="C243" s="5" t="s">
        <v>95</v>
      </c>
      <c r="D243" s="5" t="s">
        <v>96</v>
      </c>
      <c r="E243" s="5" t="s">
        <v>46</v>
      </c>
      <c r="F243" s="5" t="s">
        <v>47</v>
      </c>
      <c r="G243" s="5" t="s">
        <v>48</v>
      </c>
      <c r="H243" s="5">
        <v>3</v>
      </c>
      <c r="I243" s="5">
        <v>149.99</v>
      </c>
      <c r="J243" s="5" t="s">
        <v>36</v>
      </c>
      <c r="K243" s="5" t="s">
        <v>23</v>
      </c>
      <c r="L243" s="5" t="s">
        <v>38</v>
      </c>
      <c r="M243" s="6">
        <v>45171</v>
      </c>
      <c r="N243" s="5">
        <v>449.97</v>
      </c>
      <c r="O243" s="5" t="str">
        <f>TEXT(Table2[[#This Row],[Date]],"mmm")</f>
        <v>Mar</v>
      </c>
      <c r="R243">
        <f>SUMIF(Table2[Product_Name],F245,Table2[[#All],[Quantity]])</f>
        <v>84</v>
      </c>
    </row>
    <row r="244" spans="1:18" ht="15.75" customHeight="1" x14ac:dyDescent="0.3">
      <c r="A244" s="5" t="s">
        <v>393</v>
      </c>
      <c r="B244" s="6">
        <v>45746</v>
      </c>
      <c r="C244" s="5" t="s">
        <v>67</v>
      </c>
      <c r="D244" s="5" t="s">
        <v>68</v>
      </c>
      <c r="E244" s="5" t="s">
        <v>119</v>
      </c>
      <c r="F244" s="5" t="s">
        <v>120</v>
      </c>
      <c r="G244" s="5" t="s">
        <v>21</v>
      </c>
      <c r="H244" s="5">
        <v>2</v>
      </c>
      <c r="I244" s="5">
        <v>89.99</v>
      </c>
      <c r="J244" s="5" t="s">
        <v>59</v>
      </c>
      <c r="K244" s="5" t="s">
        <v>52</v>
      </c>
      <c r="L244" s="5" t="s">
        <v>29</v>
      </c>
      <c r="M244" s="6">
        <v>44522</v>
      </c>
      <c r="N244" s="5">
        <v>179.98</v>
      </c>
      <c r="O244" s="5" t="str">
        <f>TEXT(Table2[[#This Row],[Date]],"mmm")</f>
        <v>Mar</v>
      </c>
      <c r="R244">
        <f>SUMIF(Table2[Product_Name],F246,Table2[[#All],[Quantity]])</f>
        <v>67</v>
      </c>
    </row>
    <row r="245" spans="1:18" ht="15.75" customHeight="1" x14ac:dyDescent="0.3">
      <c r="A245" s="5" t="s">
        <v>394</v>
      </c>
      <c r="B245" s="6">
        <v>45748</v>
      </c>
      <c r="C245" s="5" t="s">
        <v>104</v>
      </c>
      <c r="D245" s="5" t="s">
        <v>105</v>
      </c>
      <c r="E245" s="5" t="s">
        <v>82</v>
      </c>
      <c r="F245" s="5" t="s">
        <v>83</v>
      </c>
      <c r="G245" s="5" t="s">
        <v>21</v>
      </c>
      <c r="H245" s="5">
        <v>2</v>
      </c>
      <c r="I245" s="5">
        <v>699.99</v>
      </c>
      <c r="J245" s="5" t="s">
        <v>36</v>
      </c>
      <c r="K245" s="5" t="s">
        <v>42</v>
      </c>
      <c r="L245" s="5" t="s">
        <v>38</v>
      </c>
      <c r="M245" s="6">
        <v>44618</v>
      </c>
      <c r="N245" s="5">
        <v>1399.98</v>
      </c>
      <c r="O245" s="5" t="str">
        <f>TEXT(Table2[[#This Row],[Date]],"mmm")</f>
        <v>Apr</v>
      </c>
      <c r="R245">
        <f>SUMIF(Table2[Product_Name],F247,Table2[[#All],[Quantity]])</f>
        <v>50</v>
      </c>
    </row>
    <row r="246" spans="1:18" ht="15.75" customHeight="1" x14ac:dyDescent="0.3">
      <c r="A246" s="5" t="s">
        <v>395</v>
      </c>
      <c r="B246" s="6">
        <v>45749</v>
      </c>
      <c r="C246" s="5" t="s">
        <v>125</v>
      </c>
      <c r="D246" s="5" t="s">
        <v>126</v>
      </c>
      <c r="E246" s="5" t="s">
        <v>63</v>
      </c>
      <c r="F246" s="5" t="s">
        <v>64</v>
      </c>
      <c r="G246" s="5" t="s">
        <v>21</v>
      </c>
      <c r="H246" s="5">
        <v>3</v>
      </c>
      <c r="I246" s="5">
        <v>899.99</v>
      </c>
      <c r="J246" s="5" t="s">
        <v>22</v>
      </c>
      <c r="K246" s="5" t="s">
        <v>23</v>
      </c>
      <c r="L246" s="5" t="s">
        <v>38</v>
      </c>
      <c r="M246" s="6">
        <v>44953</v>
      </c>
      <c r="N246" s="5">
        <v>2699.97</v>
      </c>
      <c r="O246" s="5" t="str">
        <f>TEXT(Table2[[#This Row],[Date]],"mmm")</f>
        <v>Apr</v>
      </c>
      <c r="R246">
        <f>SUMIF(Table2[Product_Name],F248,Table2[[#All],[Quantity]])</f>
        <v>99</v>
      </c>
    </row>
    <row r="247" spans="1:18" ht="15.75" customHeight="1" x14ac:dyDescent="0.3">
      <c r="A247" s="5" t="s">
        <v>396</v>
      </c>
      <c r="B247" s="6">
        <v>45755</v>
      </c>
      <c r="C247" s="5" t="s">
        <v>95</v>
      </c>
      <c r="D247" s="5" t="s">
        <v>96</v>
      </c>
      <c r="E247" s="5" t="s">
        <v>116</v>
      </c>
      <c r="F247" s="5" t="s">
        <v>117</v>
      </c>
      <c r="G247" s="5" t="s">
        <v>35</v>
      </c>
      <c r="H247" s="5">
        <v>3</v>
      </c>
      <c r="I247" s="5">
        <v>79.989999999999995</v>
      </c>
      <c r="J247" s="5" t="s">
        <v>28</v>
      </c>
      <c r="K247" s="5" t="s">
        <v>42</v>
      </c>
      <c r="L247" s="5" t="s">
        <v>24</v>
      </c>
      <c r="M247" s="6">
        <v>44511</v>
      </c>
      <c r="N247" s="5">
        <v>239.97</v>
      </c>
      <c r="O247" s="5" t="str">
        <f>TEXT(Table2[[#This Row],[Date]],"mmm")</f>
        <v>Apr</v>
      </c>
      <c r="R247">
        <f>SUMIF(Table2[Product_Name],F249,Table2[[#All],[Quantity]])</f>
        <v>84</v>
      </c>
    </row>
    <row r="248" spans="1:18" ht="15.75" customHeight="1" x14ac:dyDescent="0.3">
      <c r="A248" s="5" t="s">
        <v>397</v>
      </c>
      <c r="B248" s="6">
        <v>45756</v>
      </c>
      <c r="C248" s="5" t="s">
        <v>61</v>
      </c>
      <c r="D248" s="5" t="s">
        <v>62</v>
      </c>
      <c r="E248" s="5" t="s">
        <v>119</v>
      </c>
      <c r="F248" s="5" t="s">
        <v>120</v>
      </c>
      <c r="G248" s="5" t="s">
        <v>21</v>
      </c>
      <c r="H248" s="5">
        <v>1</v>
      </c>
      <c r="I248" s="5">
        <v>89.99</v>
      </c>
      <c r="J248" s="5" t="s">
        <v>59</v>
      </c>
      <c r="K248" s="5" t="s">
        <v>65</v>
      </c>
      <c r="L248" s="5" t="s">
        <v>24</v>
      </c>
      <c r="M248" s="6">
        <v>45346</v>
      </c>
      <c r="N248" s="5">
        <v>89.99</v>
      </c>
      <c r="O248" s="5" t="str">
        <f>TEXT(Table2[[#This Row],[Date]],"mmm")</f>
        <v>Apr</v>
      </c>
      <c r="R248">
        <f>SUMIF(Table2[Product_Name],F250,Table2[[#All],[Quantity]])</f>
        <v>99</v>
      </c>
    </row>
    <row r="249" spans="1:18" ht="15.75" customHeight="1" x14ac:dyDescent="0.3">
      <c r="A249" s="5" t="s">
        <v>398</v>
      </c>
      <c r="B249" s="6">
        <v>45758</v>
      </c>
      <c r="C249" s="5" t="s">
        <v>295</v>
      </c>
      <c r="D249" s="5" t="s">
        <v>296</v>
      </c>
      <c r="E249" s="5" t="s">
        <v>82</v>
      </c>
      <c r="F249" s="5" t="s">
        <v>83</v>
      </c>
      <c r="G249" s="5" t="s">
        <v>21</v>
      </c>
      <c r="H249" s="5">
        <v>3</v>
      </c>
      <c r="I249" s="5">
        <v>699.99</v>
      </c>
      <c r="J249" s="5" t="s">
        <v>36</v>
      </c>
      <c r="K249" s="5" t="s">
        <v>42</v>
      </c>
      <c r="L249" s="5" t="s">
        <v>24</v>
      </c>
      <c r="M249" s="6">
        <v>44909</v>
      </c>
      <c r="N249" s="5">
        <v>2099.9699999999998</v>
      </c>
      <c r="O249" s="5" t="str">
        <f>TEXT(Table2[[#This Row],[Date]],"mmm")</f>
        <v>Apr</v>
      </c>
      <c r="R249">
        <f>SUMIF(Table2[Product_Name],F251,Table2[[#All],[Quantity]])</f>
        <v>99</v>
      </c>
    </row>
    <row r="250" spans="1:18" ht="15.75" customHeight="1" x14ac:dyDescent="0.3">
      <c r="A250" s="5" t="s">
        <v>399</v>
      </c>
      <c r="B250" s="6">
        <v>45758</v>
      </c>
      <c r="C250" s="5" t="s">
        <v>228</v>
      </c>
      <c r="D250" s="5" t="s">
        <v>229</v>
      </c>
      <c r="E250" s="5" t="s">
        <v>119</v>
      </c>
      <c r="F250" s="5" t="s">
        <v>120</v>
      </c>
      <c r="G250" s="5" t="s">
        <v>21</v>
      </c>
      <c r="H250" s="5">
        <v>2</v>
      </c>
      <c r="I250" s="5">
        <v>89.99</v>
      </c>
      <c r="J250" s="5" t="s">
        <v>59</v>
      </c>
      <c r="K250" s="5" t="s">
        <v>65</v>
      </c>
      <c r="L250" s="5" t="s">
        <v>24</v>
      </c>
      <c r="M250" s="6">
        <v>45088</v>
      </c>
      <c r="N250" s="5">
        <v>179.98</v>
      </c>
      <c r="O250" s="5" t="str">
        <f>TEXT(Table2[[#This Row],[Date]],"mmm")</f>
        <v>Apr</v>
      </c>
      <c r="R250">
        <f>SUMIF(Table2[Product_Name],F252,Table2[[#All],[Quantity]])</f>
        <v>0</v>
      </c>
    </row>
    <row r="251" spans="1:18" ht="15.75" customHeight="1" x14ac:dyDescent="0.3">
      <c r="A251" s="5" t="s">
        <v>400</v>
      </c>
      <c r="B251" s="6">
        <v>45758</v>
      </c>
      <c r="C251" s="5" t="s">
        <v>140</v>
      </c>
      <c r="D251" s="5" t="s">
        <v>141</v>
      </c>
      <c r="E251" s="5" t="s">
        <v>119</v>
      </c>
      <c r="F251" s="5" t="s">
        <v>120</v>
      </c>
      <c r="G251" s="5" t="s">
        <v>21</v>
      </c>
      <c r="H251" s="5">
        <v>3</v>
      </c>
      <c r="I251" s="5">
        <v>89.99</v>
      </c>
      <c r="J251" s="5" t="s">
        <v>59</v>
      </c>
      <c r="K251" s="5" t="s">
        <v>42</v>
      </c>
      <c r="L251" s="5" t="s">
        <v>29</v>
      </c>
      <c r="M251" s="6">
        <v>44878</v>
      </c>
      <c r="N251" s="5">
        <v>269.97000000000003</v>
      </c>
      <c r="O251" s="5" t="str">
        <f>TEXT(Table2[[#This Row],[Date]],"mmm")</f>
        <v>Apr</v>
      </c>
      <c r="R251">
        <f>SUMIF(Table2[Product_Name],F253,Table2[[#All],[Quantity]])</f>
        <v>0</v>
      </c>
    </row>
    <row r="252" spans="1:18" ht="15.75" customHeight="1" x14ac:dyDescent="0.3"/>
    <row r="253" spans="1:18" ht="15.75" customHeight="1" x14ac:dyDescent="0.3"/>
    <row r="254" spans="1:18" ht="15.75" customHeight="1" x14ac:dyDescent="0.3"/>
    <row r="255" spans="1:18" ht="15.75" customHeight="1" x14ac:dyDescent="0.3"/>
    <row r="256" spans="1:18"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best case" locked="1" count="1" user="HP" comment="Created by HP on 27-02-2026">
      <inputCells r="I2" val="249.99"/>
    </scenario>
  </scenarios>
  <phoneticPr fontId="10" type="noConversion"/>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55FB-922D-4884-8446-CA8A36D00E3F}">
  <dimension ref="A1:I18"/>
  <sheetViews>
    <sheetView workbookViewId="0">
      <selection activeCell="A16" sqref="A16:J18"/>
    </sheetView>
  </sheetViews>
  <sheetFormatPr defaultRowHeight="14.4" x14ac:dyDescent="0.3"/>
  <cols>
    <col min="1" max="1" width="10.5546875" bestFit="1" customWidth="1"/>
    <col min="2" max="2" width="12.6640625"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x14ac:dyDescent="0.3">
      <c r="A1" t="s">
        <v>436</v>
      </c>
    </row>
    <row r="2" spans="1:9" ht="15" thickBot="1" x14ac:dyDescent="0.35"/>
    <row r="3" spans="1:9" x14ac:dyDescent="0.3">
      <c r="A3" s="42" t="s">
        <v>437</v>
      </c>
      <c r="B3" s="42"/>
    </row>
    <row r="4" spans="1:9" x14ac:dyDescent="0.3">
      <c r="A4" t="s">
        <v>438</v>
      </c>
      <c r="B4">
        <v>0.45808036093237842</v>
      </c>
    </row>
    <row r="5" spans="1:9" x14ac:dyDescent="0.3">
      <c r="A5" t="s">
        <v>439</v>
      </c>
      <c r="B5">
        <v>0.2098376170719381</v>
      </c>
    </row>
    <row r="6" spans="1:9" x14ac:dyDescent="0.3">
      <c r="A6" t="s">
        <v>440</v>
      </c>
      <c r="B6">
        <v>0.20665147843109913</v>
      </c>
    </row>
    <row r="7" spans="1:9" x14ac:dyDescent="0.3">
      <c r="A7" t="s">
        <v>441</v>
      </c>
      <c r="B7">
        <v>919.60715349471081</v>
      </c>
    </row>
    <row r="8" spans="1:9" ht="15" thickBot="1" x14ac:dyDescent="0.35">
      <c r="A8" s="40" t="s">
        <v>442</v>
      </c>
      <c r="B8" s="40">
        <v>250</v>
      </c>
    </row>
    <row r="10" spans="1:9" ht="15" thickBot="1" x14ac:dyDescent="0.35">
      <c r="A10" t="s">
        <v>443</v>
      </c>
    </row>
    <row r="11" spans="1:9" x14ac:dyDescent="0.3">
      <c r="A11" s="41"/>
      <c r="B11" s="41" t="s">
        <v>448</v>
      </c>
      <c r="C11" s="41" t="s">
        <v>449</v>
      </c>
      <c r="D11" s="41" t="s">
        <v>450</v>
      </c>
      <c r="E11" s="41" t="s">
        <v>451</v>
      </c>
      <c r="F11" s="41" t="s">
        <v>452</v>
      </c>
    </row>
    <row r="12" spans="1:9" x14ac:dyDescent="0.3">
      <c r="A12" t="s">
        <v>444</v>
      </c>
      <c r="B12">
        <v>1</v>
      </c>
      <c r="C12">
        <v>55695916.896352619</v>
      </c>
      <c r="D12">
        <v>55695916.896352619</v>
      </c>
      <c r="E12">
        <v>65.859537429508919</v>
      </c>
      <c r="F12">
        <v>2.2586478953134677E-14</v>
      </c>
    </row>
    <row r="13" spans="1:9" x14ac:dyDescent="0.3">
      <c r="A13" t="s">
        <v>445</v>
      </c>
      <c r="B13">
        <v>248</v>
      </c>
      <c r="C13">
        <v>209727974.55614385</v>
      </c>
      <c r="D13">
        <v>845677.31675864453</v>
      </c>
    </row>
    <row r="14" spans="1:9" ht="15" thickBot="1" x14ac:dyDescent="0.35">
      <c r="A14" s="40" t="s">
        <v>446</v>
      </c>
      <c r="B14" s="40">
        <v>249</v>
      </c>
      <c r="C14" s="40">
        <v>265423891.45249647</v>
      </c>
      <c r="D14" s="40"/>
      <c r="E14" s="40"/>
      <c r="F14" s="40"/>
    </row>
    <row r="15" spans="1:9" ht="15" thickBot="1" x14ac:dyDescent="0.35"/>
    <row r="16" spans="1:9" x14ac:dyDescent="0.3">
      <c r="A16" s="41"/>
      <c r="B16" s="41" t="s">
        <v>453</v>
      </c>
      <c r="C16" s="41" t="s">
        <v>441</v>
      </c>
      <c r="D16" s="41" t="s">
        <v>454</v>
      </c>
      <c r="E16" s="41" t="s">
        <v>455</v>
      </c>
      <c r="F16" s="41" t="s">
        <v>456</v>
      </c>
      <c r="G16" s="41" t="s">
        <v>457</v>
      </c>
      <c r="H16" s="41" t="s">
        <v>458</v>
      </c>
      <c r="I16" s="41" t="s">
        <v>459</v>
      </c>
    </row>
    <row r="17" spans="1:9" x14ac:dyDescent="0.3">
      <c r="A17" t="s">
        <v>447</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35">
      <c r="A18" s="40" t="s">
        <v>460</v>
      </c>
      <c r="B18" s="40">
        <v>353.7930042879882</v>
      </c>
      <c r="C18" s="40">
        <v>43.595323340526868</v>
      </c>
      <c r="D18" s="40">
        <v>8.1153889265708674</v>
      </c>
      <c r="E18" s="40">
        <v>2.2586478953133775E-14</v>
      </c>
      <c r="F18" s="40">
        <v>267.92871682452869</v>
      </c>
      <c r="G18" s="40">
        <v>439.6572917514477</v>
      </c>
      <c r="H18" s="40">
        <v>267.92871682452869</v>
      </c>
      <c r="I18" s="40">
        <v>439.6572917514477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66A5-496F-40AD-8E93-BEF61DDE41EF}">
  <dimension ref="A2:O3"/>
  <sheetViews>
    <sheetView tabSelected="1" zoomScale="70" workbookViewId="0">
      <selection activeCell="N24" sqref="N24"/>
    </sheetView>
  </sheetViews>
  <sheetFormatPr defaultRowHeight="14.4" x14ac:dyDescent="0.3"/>
  <cols>
    <col min="1" max="1" width="13.109375" bestFit="1" customWidth="1"/>
    <col min="2" max="2" width="22" customWidth="1"/>
    <col min="10" max="10" width="12.6640625" customWidth="1"/>
  </cols>
  <sheetData>
    <row r="2" spans="1:15" x14ac:dyDescent="0.3">
      <c r="A2" s="34" t="s">
        <v>424</v>
      </c>
      <c r="B2" s="33">
        <f>SUM(Table2[Total_Amount])</f>
        <v>229192.47000000032</v>
      </c>
      <c r="D2" s="36"/>
      <c r="E2" s="36"/>
      <c r="F2" s="34" t="s">
        <v>425</v>
      </c>
      <c r="G2" s="35">
        <f>AVERAGE(Table2[Total_Amount])</f>
        <v>916.76988000000131</v>
      </c>
      <c r="J2" s="37" t="s">
        <v>426</v>
      </c>
      <c r="K2" s="35">
        <f>COUNTA(_xlfn.UNIQUE(Table2[Customer_ID]))</f>
        <v>50</v>
      </c>
      <c r="M2" s="43" t="s">
        <v>427</v>
      </c>
      <c r="N2" s="43"/>
      <c r="O2" s="35">
        <f>COUNTA(Table2[Transaction_ID])</f>
        <v>250</v>
      </c>
    </row>
    <row r="3" spans="1:15" x14ac:dyDescent="0.3">
      <c r="A3" s="21"/>
    </row>
  </sheetData>
  <mergeCells count="1">
    <mergeCell ref="M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C22C-1230-4596-B951-14139BCE36C1}">
  <dimension ref="A1:C251"/>
  <sheetViews>
    <sheetView workbookViewId="0">
      <selection activeCell="A7" sqref="A7"/>
    </sheetView>
  </sheetViews>
  <sheetFormatPr defaultRowHeight="14.4" x14ac:dyDescent="0.3"/>
  <cols>
    <col min="1" max="1" width="15.5546875" bestFit="1" customWidth="1"/>
    <col min="2" max="2" width="11.5546875" customWidth="1"/>
    <col min="3" max="3" width="13.109375" bestFit="1" customWidth="1"/>
  </cols>
  <sheetData>
    <row r="1" spans="1:3" x14ac:dyDescent="0.3">
      <c r="A1" s="7" t="s">
        <v>401</v>
      </c>
      <c r="B1" s="7" t="s">
        <v>402</v>
      </c>
      <c r="C1" s="15" t="s">
        <v>403</v>
      </c>
    </row>
    <row r="2" spans="1:3" x14ac:dyDescent="0.3">
      <c r="A2" s="10">
        <f t="shared" ref="A2:A65" ca="1" si="0">NOW()</f>
        <v>46083.053269675926</v>
      </c>
      <c r="B2" s="11">
        <f ca="1">DATEDIF(Table2[[#This Row],[Customer_Since]], TODAY(), "Y")</f>
        <v>4</v>
      </c>
      <c r="C2" s="12">
        <f>EOMONTH(Table2[[#This Row],[Date]],0)</f>
        <v>45412</v>
      </c>
    </row>
    <row r="3" spans="1:3" x14ac:dyDescent="0.3">
      <c r="A3" s="13">
        <f t="shared" ca="1" si="0"/>
        <v>46083.053269675926</v>
      </c>
      <c r="B3" s="9">
        <f ca="1">DATEDIF(Table2[[#This Row],[Customer_Since]], TODAY(), "Y")</f>
        <v>4</v>
      </c>
      <c r="C3" s="14">
        <f>EOMONTH(Table2[[#This Row],[Date]],0)</f>
        <v>45412</v>
      </c>
    </row>
    <row r="4" spans="1:3" x14ac:dyDescent="0.3">
      <c r="A4" s="10">
        <f t="shared" ca="1" si="0"/>
        <v>46083.053269675926</v>
      </c>
      <c r="B4" s="11">
        <f ca="1">DATEDIF(Table2[[#This Row],[Customer_Since]], TODAY(), "Y")</f>
        <v>2</v>
      </c>
      <c r="C4" s="12">
        <f>EOMONTH(Table2[[#This Row],[Date]],0)</f>
        <v>45412</v>
      </c>
    </row>
    <row r="5" spans="1:3" x14ac:dyDescent="0.3">
      <c r="A5" s="13">
        <f t="shared" ca="1" si="0"/>
        <v>46083.053269675926</v>
      </c>
      <c r="B5" s="9">
        <f ca="1">DATEDIF(Table2[[#This Row],[Customer_Since]], TODAY(), "Y")</f>
        <v>2</v>
      </c>
      <c r="C5" s="14">
        <f>EOMONTH(Table2[[#This Row],[Date]],0)</f>
        <v>45412</v>
      </c>
    </row>
    <row r="6" spans="1:3" x14ac:dyDescent="0.3">
      <c r="A6" s="10">
        <f t="shared" ca="1" si="0"/>
        <v>46083.053269675926</v>
      </c>
      <c r="B6" s="11">
        <f ca="1">DATEDIF(Table2[[#This Row],[Customer_Since]], TODAY(), "Y")</f>
        <v>2</v>
      </c>
      <c r="C6" s="12">
        <f>EOMONTH(Table2[[#This Row],[Date]],0)</f>
        <v>45412</v>
      </c>
    </row>
    <row r="7" spans="1:3" x14ac:dyDescent="0.3">
      <c r="A7" s="13">
        <f t="shared" ca="1" si="0"/>
        <v>46083.053269675926</v>
      </c>
      <c r="B7" s="9">
        <f ca="1">DATEDIF(Table2[[#This Row],[Customer_Since]], TODAY(), "Y")</f>
        <v>3</v>
      </c>
      <c r="C7" s="14">
        <f>EOMONTH(Table2[[#This Row],[Date]],0)</f>
        <v>45412</v>
      </c>
    </row>
    <row r="8" spans="1:3" x14ac:dyDescent="0.3">
      <c r="A8" s="10">
        <f t="shared" ca="1" si="0"/>
        <v>46083.053269675926</v>
      </c>
      <c r="B8" s="11">
        <f ca="1">DATEDIF(Table2[[#This Row],[Customer_Since]], TODAY(), "Y")</f>
        <v>4</v>
      </c>
      <c r="C8" s="12">
        <f>EOMONTH(Table2[[#This Row],[Date]],0)</f>
        <v>45412</v>
      </c>
    </row>
    <row r="9" spans="1:3" x14ac:dyDescent="0.3">
      <c r="A9" s="13">
        <f t="shared" ca="1" si="0"/>
        <v>46083.053269675926</v>
      </c>
      <c r="B9" s="9">
        <f ca="1">DATEDIF(Table2[[#This Row],[Customer_Since]], TODAY(), "Y")</f>
        <v>2</v>
      </c>
      <c r="C9" s="14">
        <f>EOMONTH(Table2[[#This Row],[Date]],0)</f>
        <v>45412</v>
      </c>
    </row>
    <row r="10" spans="1:3" x14ac:dyDescent="0.3">
      <c r="A10" s="10">
        <f t="shared" ca="1" si="0"/>
        <v>46083.053269675926</v>
      </c>
      <c r="B10" s="11">
        <f ca="1">DATEDIF(Table2[[#This Row],[Customer_Since]], TODAY(), "Y")</f>
        <v>2</v>
      </c>
      <c r="C10" s="12">
        <f>EOMONTH(Table2[[#This Row],[Date]],0)</f>
        <v>45412</v>
      </c>
    </row>
    <row r="11" spans="1:3" x14ac:dyDescent="0.3">
      <c r="A11" s="13">
        <f t="shared" ca="1" si="0"/>
        <v>46083.053269675926</v>
      </c>
      <c r="B11" s="9">
        <f ca="1">DATEDIF(Table2[[#This Row],[Customer_Since]], TODAY(), "Y")</f>
        <v>2</v>
      </c>
      <c r="C11" s="14">
        <f>EOMONTH(Table2[[#This Row],[Date]],0)</f>
        <v>45412</v>
      </c>
    </row>
    <row r="12" spans="1:3" x14ac:dyDescent="0.3">
      <c r="A12" s="10">
        <f t="shared" ca="1" si="0"/>
        <v>46083.053269675926</v>
      </c>
      <c r="B12" s="11">
        <f ca="1">DATEDIF(Table2[[#This Row],[Customer_Since]], TODAY(), "Y")</f>
        <v>2</v>
      </c>
      <c r="C12" s="12">
        <f>EOMONTH(Table2[[#This Row],[Date]],0)</f>
        <v>45412</v>
      </c>
    </row>
    <row r="13" spans="1:3" x14ac:dyDescent="0.3">
      <c r="A13" s="13">
        <f t="shared" ca="1" si="0"/>
        <v>46083.053269675926</v>
      </c>
      <c r="B13" s="9">
        <f ca="1">DATEDIF(Table2[[#This Row],[Customer_Since]], TODAY(), "Y")</f>
        <v>3</v>
      </c>
      <c r="C13" s="14">
        <f>EOMONTH(Table2[[#This Row],[Date]],0)</f>
        <v>45412</v>
      </c>
    </row>
    <row r="14" spans="1:3" x14ac:dyDescent="0.3">
      <c r="A14" s="10">
        <f t="shared" ca="1" si="0"/>
        <v>46083.053269675926</v>
      </c>
      <c r="B14" s="11">
        <f ca="1">DATEDIF(Table2[[#This Row],[Customer_Since]], TODAY(), "Y")</f>
        <v>3</v>
      </c>
      <c r="C14" s="12">
        <f>EOMONTH(Table2[[#This Row],[Date]],0)</f>
        <v>45412</v>
      </c>
    </row>
    <row r="15" spans="1:3" x14ac:dyDescent="0.3">
      <c r="A15" s="13">
        <f t="shared" ca="1" si="0"/>
        <v>46083.053269675926</v>
      </c>
      <c r="B15" s="9">
        <f ca="1">DATEDIF(Table2[[#This Row],[Customer_Since]], TODAY(), "Y")</f>
        <v>2</v>
      </c>
      <c r="C15" s="14">
        <f>EOMONTH(Table2[[#This Row],[Date]],0)</f>
        <v>45412</v>
      </c>
    </row>
    <row r="16" spans="1:3" x14ac:dyDescent="0.3">
      <c r="A16" s="10">
        <f t="shared" ca="1" si="0"/>
        <v>46083.053269675926</v>
      </c>
      <c r="B16" s="11">
        <f ca="1">DATEDIF(Table2[[#This Row],[Customer_Since]], TODAY(), "Y")</f>
        <v>4</v>
      </c>
      <c r="C16" s="12">
        <f>EOMONTH(Table2[[#This Row],[Date]],0)</f>
        <v>45412</v>
      </c>
    </row>
    <row r="17" spans="1:3" x14ac:dyDescent="0.3">
      <c r="A17" s="13">
        <f t="shared" ca="1" si="0"/>
        <v>46083.053269675926</v>
      </c>
      <c r="B17" s="9">
        <f ca="1">DATEDIF(Table2[[#This Row],[Customer_Since]], TODAY(), "Y")</f>
        <v>3</v>
      </c>
      <c r="C17" s="14">
        <f>EOMONTH(Table2[[#This Row],[Date]],0)</f>
        <v>45412</v>
      </c>
    </row>
    <row r="18" spans="1:3" x14ac:dyDescent="0.3">
      <c r="A18" s="10">
        <f t="shared" ca="1" si="0"/>
        <v>46083.053269675926</v>
      </c>
      <c r="B18" s="11">
        <f ca="1">DATEDIF(Table2[[#This Row],[Customer_Since]], TODAY(), "Y")</f>
        <v>1</v>
      </c>
      <c r="C18" s="12">
        <f>EOMONTH(Table2[[#This Row],[Date]],0)</f>
        <v>45412</v>
      </c>
    </row>
    <row r="19" spans="1:3" x14ac:dyDescent="0.3">
      <c r="A19" s="13">
        <f t="shared" ca="1" si="0"/>
        <v>46083.053269675926</v>
      </c>
      <c r="B19" s="9">
        <f ca="1">DATEDIF(Table2[[#This Row],[Customer_Since]], TODAY(), "Y")</f>
        <v>3</v>
      </c>
      <c r="C19" s="14">
        <f>EOMONTH(Table2[[#This Row],[Date]],0)</f>
        <v>45412</v>
      </c>
    </row>
    <row r="20" spans="1:3" x14ac:dyDescent="0.3">
      <c r="A20" s="10">
        <f t="shared" ca="1" si="0"/>
        <v>46083.053269675926</v>
      </c>
      <c r="B20" s="11">
        <f ca="1">DATEDIF(Table2[[#This Row],[Customer_Since]], TODAY(), "Y")</f>
        <v>2</v>
      </c>
      <c r="C20" s="12">
        <f>EOMONTH(Table2[[#This Row],[Date]],0)</f>
        <v>45412</v>
      </c>
    </row>
    <row r="21" spans="1:3" x14ac:dyDescent="0.3">
      <c r="A21" s="13">
        <f t="shared" ca="1" si="0"/>
        <v>46083.053269675926</v>
      </c>
      <c r="B21" s="9">
        <f ca="1">DATEDIF(Table2[[#This Row],[Customer_Since]], TODAY(), "Y")</f>
        <v>2</v>
      </c>
      <c r="C21" s="14">
        <f>EOMONTH(Table2[[#This Row],[Date]],0)</f>
        <v>45412</v>
      </c>
    </row>
    <row r="22" spans="1:3" x14ac:dyDescent="0.3">
      <c r="A22" s="10">
        <f t="shared" ca="1" si="0"/>
        <v>46083.053269675926</v>
      </c>
      <c r="B22" s="11">
        <f ca="1">DATEDIF(Table2[[#This Row],[Customer_Since]], TODAY(), "Y")</f>
        <v>2</v>
      </c>
      <c r="C22" s="12">
        <f>EOMONTH(Table2[[#This Row],[Date]],0)</f>
        <v>45412</v>
      </c>
    </row>
    <row r="23" spans="1:3" x14ac:dyDescent="0.3">
      <c r="A23" s="13">
        <f t="shared" ca="1" si="0"/>
        <v>46083.053269675926</v>
      </c>
      <c r="B23" s="9">
        <f ca="1">DATEDIF(Table2[[#This Row],[Customer_Since]], TODAY(), "Y")</f>
        <v>4</v>
      </c>
      <c r="C23" s="14">
        <f>EOMONTH(Table2[[#This Row],[Date]],0)</f>
        <v>45443</v>
      </c>
    </row>
    <row r="24" spans="1:3" x14ac:dyDescent="0.3">
      <c r="A24" s="10">
        <f t="shared" ca="1" si="0"/>
        <v>46083.053269675926</v>
      </c>
      <c r="B24" s="11">
        <f ca="1">DATEDIF(Table2[[#This Row],[Customer_Since]], TODAY(), "Y")</f>
        <v>4</v>
      </c>
      <c r="C24" s="12">
        <f>EOMONTH(Table2[[#This Row],[Date]],0)</f>
        <v>45443</v>
      </c>
    </row>
    <row r="25" spans="1:3" x14ac:dyDescent="0.3">
      <c r="A25" s="13">
        <f t="shared" ca="1" si="0"/>
        <v>46083.053269675926</v>
      </c>
      <c r="B25" s="9">
        <f ca="1">DATEDIF(Table2[[#This Row],[Customer_Since]], TODAY(), "Y")</f>
        <v>3</v>
      </c>
      <c r="C25" s="14">
        <f>EOMONTH(Table2[[#This Row],[Date]],0)</f>
        <v>45443</v>
      </c>
    </row>
    <row r="26" spans="1:3" x14ac:dyDescent="0.3">
      <c r="A26" s="10">
        <f t="shared" ca="1" si="0"/>
        <v>46083.053269675926</v>
      </c>
      <c r="B26" s="11">
        <f ca="1">DATEDIF(Table2[[#This Row],[Customer_Since]], TODAY(), "Y")</f>
        <v>4</v>
      </c>
      <c r="C26" s="12">
        <f>EOMONTH(Table2[[#This Row],[Date]],0)</f>
        <v>45443</v>
      </c>
    </row>
    <row r="27" spans="1:3" x14ac:dyDescent="0.3">
      <c r="A27" s="13">
        <f t="shared" ca="1" si="0"/>
        <v>46083.053269675926</v>
      </c>
      <c r="B27" s="9">
        <f ca="1">DATEDIF(Table2[[#This Row],[Customer_Since]], TODAY(), "Y")</f>
        <v>2</v>
      </c>
      <c r="C27" s="14">
        <f>EOMONTH(Table2[[#This Row],[Date]],0)</f>
        <v>45443</v>
      </c>
    </row>
    <row r="28" spans="1:3" x14ac:dyDescent="0.3">
      <c r="A28" s="10">
        <f t="shared" ca="1" si="0"/>
        <v>46083.053269675926</v>
      </c>
      <c r="B28" s="11">
        <f ca="1">DATEDIF(Table2[[#This Row],[Customer_Since]], TODAY(), "Y")</f>
        <v>2</v>
      </c>
      <c r="C28" s="12">
        <f>EOMONTH(Table2[[#This Row],[Date]],0)</f>
        <v>45443</v>
      </c>
    </row>
    <row r="29" spans="1:3" x14ac:dyDescent="0.3">
      <c r="A29" s="13">
        <f t="shared" ca="1" si="0"/>
        <v>46083.053269675926</v>
      </c>
      <c r="B29" s="9">
        <f ca="1">DATEDIF(Table2[[#This Row],[Customer_Since]], TODAY(), "Y")</f>
        <v>3</v>
      </c>
      <c r="C29" s="14">
        <f>EOMONTH(Table2[[#This Row],[Date]],0)</f>
        <v>45443</v>
      </c>
    </row>
    <row r="30" spans="1:3" x14ac:dyDescent="0.3">
      <c r="A30" s="10">
        <f t="shared" ca="1" si="0"/>
        <v>46083.053269675926</v>
      </c>
      <c r="B30" s="11">
        <f ca="1">DATEDIF(Table2[[#This Row],[Customer_Since]], TODAY(), "Y")</f>
        <v>2</v>
      </c>
      <c r="C30" s="12">
        <f>EOMONTH(Table2[[#This Row],[Date]],0)</f>
        <v>45443</v>
      </c>
    </row>
    <row r="31" spans="1:3" x14ac:dyDescent="0.3">
      <c r="A31" s="13">
        <f t="shared" ca="1" si="0"/>
        <v>46083.053269675926</v>
      </c>
      <c r="B31" s="9">
        <f ca="1">DATEDIF(Table2[[#This Row],[Customer_Since]], TODAY(), "Y")</f>
        <v>3</v>
      </c>
      <c r="C31" s="14">
        <f>EOMONTH(Table2[[#This Row],[Date]],0)</f>
        <v>45443</v>
      </c>
    </row>
    <row r="32" spans="1:3" x14ac:dyDescent="0.3">
      <c r="A32" s="10">
        <f t="shared" ca="1" si="0"/>
        <v>46083.053269675926</v>
      </c>
      <c r="B32" s="11">
        <f ca="1">DATEDIF(Table2[[#This Row],[Customer_Since]], TODAY(), "Y")</f>
        <v>4</v>
      </c>
      <c r="C32" s="12">
        <f>EOMONTH(Table2[[#This Row],[Date]],0)</f>
        <v>45443</v>
      </c>
    </row>
    <row r="33" spans="1:3" x14ac:dyDescent="0.3">
      <c r="A33" s="13">
        <f t="shared" ca="1" si="0"/>
        <v>46083.053269675926</v>
      </c>
      <c r="B33" s="9">
        <f ca="1">DATEDIF(Table2[[#This Row],[Customer_Since]], TODAY(), "Y")</f>
        <v>3</v>
      </c>
      <c r="C33" s="14">
        <f>EOMONTH(Table2[[#This Row],[Date]],0)</f>
        <v>45443</v>
      </c>
    </row>
    <row r="34" spans="1:3" x14ac:dyDescent="0.3">
      <c r="A34" s="10">
        <f t="shared" ca="1" si="0"/>
        <v>46083.053269675926</v>
      </c>
      <c r="B34" s="11">
        <f ca="1">DATEDIF(Table2[[#This Row],[Customer_Since]], TODAY(), "Y")</f>
        <v>2</v>
      </c>
      <c r="C34" s="12">
        <f>EOMONTH(Table2[[#This Row],[Date]],0)</f>
        <v>45443</v>
      </c>
    </row>
    <row r="35" spans="1:3" x14ac:dyDescent="0.3">
      <c r="A35" s="13">
        <f t="shared" ca="1" si="0"/>
        <v>46083.053269675926</v>
      </c>
      <c r="B35" s="9">
        <f ca="1">DATEDIF(Table2[[#This Row],[Customer_Since]], TODAY(), "Y")</f>
        <v>4</v>
      </c>
      <c r="C35" s="14">
        <f>EOMONTH(Table2[[#This Row],[Date]],0)</f>
        <v>45443</v>
      </c>
    </row>
    <row r="36" spans="1:3" x14ac:dyDescent="0.3">
      <c r="A36" s="10">
        <f t="shared" ca="1" si="0"/>
        <v>46083.053269675926</v>
      </c>
      <c r="B36" s="11">
        <f ca="1">DATEDIF(Table2[[#This Row],[Customer_Since]], TODAY(), "Y")</f>
        <v>3</v>
      </c>
      <c r="C36" s="12">
        <f>EOMONTH(Table2[[#This Row],[Date]],0)</f>
        <v>45443</v>
      </c>
    </row>
    <row r="37" spans="1:3" x14ac:dyDescent="0.3">
      <c r="A37" s="13">
        <f t="shared" ca="1" si="0"/>
        <v>46083.053269675926</v>
      </c>
      <c r="B37" s="9">
        <f ca="1">DATEDIF(Table2[[#This Row],[Customer_Since]], TODAY(), "Y")</f>
        <v>2</v>
      </c>
      <c r="C37" s="14">
        <f>EOMONTH(Table2[[#This Row],[Date]],0)</f>
        <v>45443</v>
      </c>
    </row>
    <row r="38" spans="1:3" x14ac:dyDescent="0.3">
      <c r="A38" s="10">
        <f t="shared" ca="1" si="0"/>
        <v>46083.053269675926</v>
      </c>
      <c r="B38" s="11">
        <f ca="1">DATEDIF(Table2[[#This Row],[Customer_Since]], TODAY(), "Y")</f>
        <v>2</v>
      </c>
      <c r="C38" s="12">
        <f>EOMONTH(Table2[[#This Row],[Date]],0)</f>
        <v>45443</v>
      </c>
    </row>
    <row r="39" spans="1:3" x14ac:dyDescent="0.3">
      <c r="A39" s="13">
        <f t="shared" ca="1" si="0"/>
        <v>46083.053269675926</v>
      </c>
      <c r="B39" s="9">
        <f ca="1">DATEDIF(Table2[[#This Row],[Customer_Since]], TODAY(), "Y")</f>
        <v>4</v>
      </c>
      <c r="C39" s="14">
        <f>EOMONTH(Table2[[#This Row],[Date]],0)</f>
        <v>45443</v>
      </c>
    </row>
    <row r="40" spans="1:3" x14ac:dyDescent="0.3">
      <c r="A40" s="10">
        <f t="shared" ca="1" si="0"/>
        <v>46083.053269675926</v>
      </c>
      <c r="B40" s="11">
        <f ca="1">DATEDIF(Table2[[#This Row],[Customer_Since]], TODAY(), "Y")</f>
        <v>2</v>
      </c>
      <c r="C40" s="12">
        <f>EOMONTH(Table2[[#This Row],[Date]],0)</f>
        <v>45443</v>
      </c>
    </row>
    <row r="41" spans="1:3" x14ac:dyDescent="0.3">
      <c r="A41" s="13">
        <f t="shared" ca="1" si="0"/>
        <v>46083.053269675926</v>
      </c>
      <c r="B41" s="9">
        <f ca="1">DATEDIF(Table2[[#This Row],[Customer_Since]], TODAY(), "Y")</f>
        <v>3</v>
      </c>
      <c r="C41" s="14">
        <f>EOMONTH(Table2[[#This Row],[Date]],0)</f>
        <v>45443</v>
      </c>
    </row>
    <row r="42" spans="1:3" x14ac:dyDescent="0.3">
      <c r="A42" s="10">
        <f t="shared" ca="1" si="0"/>
        <v>46083.053269675926</v>
      </c>
      <c r="B42" s="11">
        <f ca="1">DATEDIF(Table2[[#This Row],[Customer_Since]], TODAY(), "Y")</f>
        <v>1</v>
      </c>
      <c r="C42" s="12">
        <f>EOMONTH(Table2[[#This Row],[Date]],0)</f>
        <v>45473</v>
      </c>
    </row>
    <row r="43" spans="1:3" x14ac:dyDescent="0.3">
      <c r="A43" s="13">
        <f t="shared" ca="1" si="0"/>
        <v>46083.053269675926</v>
      </c>
      <c r="B43" s="9">
        <f ca="1">DATEDIF(Table2[[#This Row],[Customer_Since]], TODAY(), "Y")</f>
        <v>2</v>
      </c>
      <c r="C43" s="14">
        <f>EOMONTH(Table2[[#This Row],[Date]],0)</f>
        <v>45473</v>
      </c>
    </row>
    <row r="44" spans="1:3" x14ac:dyDescent="0.3">
      <c r="A44" s="10">
        <f t="shared" ca="1" si="0"/>
        <v>46083.053269675926</v>
      </c>
      <c r="B44" s="11">
        <f ca="1">DATEDIF(Table2[[#This Row],[Customer_Since]], TODAY(), "Y")</f>
        <v>4</v>
      </c>
      <c r="C44" s="12">
        <f>EOMONTH(Table2[[#This Row],[Date]],0)</f>
        <v>45473</v>
      </c>
    </row>
    <row r="45" spans="1:3" x14ac:dyDescent="0.3">
      <c r="A45" s="13">
        <f t="shared" ca="1" si="0"/>
        <v>46083.053269675926</v>
      </c>
      <c r="B45" s="9">
        <f ca="1">DATEDIF(Table2[[#This Row],[Customer_Since]], TODAY(), "Y")</f>
        <v>3</v>
      </c>
      <c r="C45" s="14">
        <f>EOMONTH(Table2[[#This Row],[Date]],0)</f>
        <v>45473</v>
      </c>
    </row>
    <row r="46" spans="1:3" x14ac:dyDescent="0.3">
      <c r="A46" s="10">
        <f t="shared" ca="1" si="0"/>
        <v>46083.053269675926</v>
      </c>
      <c r="B46" s="11">
        <f ca="1">DATEDIF(Table2[[#This Row],[Customer_Since]], TODAY(), "Y")</f>
        <v>4</v>
      </c>
      <c r="C46" s="12">
        <f>EOMONTH(Table2[[#This Row],[Date]],0)</f>
        <v>45473</v>
      </c>
    </row>
    <row r="47" spans="1:3" x14ac:dyDescent="0.3">
      <c r="A47" s="13">
        <f t="shared" ca="1" si="0"/>
        <v>46083.053269675926</v>
      </c>
      <c r="B47" s="9">
        <f ca="1">DATEDIF(Table2[[#This Row],[Customer_Since]], TODAY(), "Y")</f>
        <v>3</v>
      </c>
      <c r="C47" s="14">
        <f>EOMONTH(Table2[[#This Row],[Date]],0)</f>
        <v>45473</v>
      </c>
    </row>
    <row r="48" spans="1:3" x14ac:dyDescent="0.3">
      <c r="A48" s="10">
        <f t="shared" ca="1" si="0"/>
        <v>46083.053269675926</v>
      </c>
      <c r="B48" s="11">
        <f ca="1">DATEDIF(Table2[[#This Row],[Customer_Since]], TODAY(), "Y")</f>
        <v>4</v>
      </c>
      <c r="C48" s="12">
        <f>EOMONTH(Table2[[#This Row],[Date]],0)</f>
        <v>45473</v>
      </c>
    </row>
    <row r="49" spans="1:3" x14ac:dyDescent="0.3">
      <c r="A49" s="13">
        <f t="shared" ca="1" si="0"/>
        <v>46083.053269675926</v>
      </c>
      <c r="B49" s="9">
        <f ca="1">DATEDIF(Table2[[#This Row],[Customer_Since]], TODAY(), "Y")</f>
        <v>4</v>
      </c>
      <c r="C49" s="14">
        <f>EOMONTH(Table2[[#This Row],[Date]],0)</f>
        <v>45473</v>
      </c>
    </row>
    <row r="50" spans="1:3" x14ac:dyDescent="0.3">
      <c r="A50" s="10">
        <f t="shared" ca="1" si="0"/>
        <v>46083.053269675926</v>
      </c>
      <c r="B50" s="11">
        <f ca="1">DATEDIF(Table2[[#This Row],[Customer_Since]], TODAY(), "Y")</f>
        <v>4</v>
      </c>
      <c r="C50" s="12">
        <f>EOMONTH(Table2[[#This Row],[Date]],0)</f>
        <v>45473</v>
      </c>
    </row>
    <row r="51" spans="1:3" x14ac:dyDescent="0.3">
      <c r="A51" s="13">
        <f t="shared" ca="1" si="0"/>
        <v>46083.053269675926</v>
      </c>
      <c r="B51" s="9">
        <f ca="1">DATEDIF(Table2[[#This Row],[Customer_Since]], TODAY(), "Y")</f>
        <v>3</v>
      </c>
      <c r="C51" s="14">
        <f>EOMONTH(Table2[[#This Row],[Date]],0)</f>
        <v>45473</v>
      </c>
    </row>
    <row r="52" spans="1:3" x14ac:dyDescent="0.3">
      <c r="A52" s="10">
        <f t="shared" ca="1" si="0"/>
        <v>46083.053269675926</v>
      </c>
      <c r="B52" s="11">
        <f ca="1">DATEDIF(Table2[[#This Row],[Customer_Since]], TODAY(), "Y")</f>
        <v>2</v>
      </c>
      <c r="C52" s="12">
        <f>EOMONTH(Table2[[#This Row],[Date]],0)</f>
        <v>45473</v>
      </c>
    </row>
    <row r="53" spans="1:3" x14ac:dyDescent="0.3">
      <c r="A53" s="13">
        <f t="shared" ca="1" si="0"/>
        <v>46083.053269675926</v>
      </c>
      <c r="B53" s="9">
        <f ca="1">DATEDIF(Table2[[#This Row],[Customer_Since]], TODAY(), "Y")</f>
        <v>2</v>
      </c>
      <c r="C53" s="14">
        <f>EOMONTH(Table2[[#This Row],[Date]],0)</f>
        <v>45473</v>
      </c>
    </row>
    <row r="54" spans="1:3" x14ac:dyDescent="0.3">
      <c r="A54" s="10">
        <f t="shared" ca="1" si="0"/>
        <v>46083.053269675926</v>
      </c>
      <c r="B54" s="11">
        <f ca="1">DATEDIF(Table2[[#This Row],[Customer_Since]], TODAY(), "Y")</f>
        <v>2</v>
      </c>
      <c r="C54" s="12">
        <f>EOMONTH(Table2[[#This Row],[Date]],0)</f>
        <v>45473</v>
      </c>
    </row>
    <row r="55" spans="1:3" x14ac:dyDescent="0.3">
      <c r="A55" s="13">
        <f t="shared" ca="1" si="0"/>
        <v>46083.053269675926</v>
      </c>
      <c r="B55" s="9">
        <f ca="1">DATEDIF(Table2[[#This Row],[Customer_Since]], TODAY(), "Y")</f>
        <v>2</v>
      </c>
      <c r="C55" s="14">
        <f>EOMONTH(Table2[[#This Row],[Date]],0)</f>
        <v>45473</v>
      </c>
    </row>
    <row r="56" spans="1:3" x14ac:dyDescent="0.3">
      <c r="A56" s="10">
        <f t="shared" ca="1" si="0"/>
        <v>46083.053269675926</v>
      </c>
      <c r="B56" s="11">
        <f ca="1">DATEDIF(Table2[[#This Row],[Customer_Since]], TODAY(), "Y")</f>
        <v>2</v>
      </c>
      <c r="C56" s="12">
        <f>EOMONTH(Table2[[#This Row],[Date]],0)</f>
        <v>45473</v>
      </c>
    </row>
    <row r="57" spans="1:3" x14ac:dyDescent="0.3">
      <c r="A57" s="13">
        <f t="shared" ca="1" si="0"/>
        <v>46083.053269675926</v>
      </c>
      <c r="B57" s="9">
        <f ca="1">DATEDIF(Table2[[#This Row],[Customer_Since]], TODAY(), "Y")</f>
        <v>4</v>
      </c>
      <c r="C57" s="14">
        <f>EOMONTH(Table2[[#This Row],[Date]],0)</f>
        <v>45473</v>
      </c>
    </row>
    <row r="58" spans="1:3" x14ac:dyDescent="0.3">
      <c r="A58" s="10">
        <f t="shared" ca="1" si="0"/>
        <v>46083.053269675926</v>
      </c>
      <c r="B58" s="11">
        <f ca="1">DATEDIF(Table2[[#This Row],[Customer_Since]], TODAY(), "Y")</f>
        <v>2</v>
      </c>
      <c r="C58" s="12">
        <f>EOMONTH(Table2[[#This Row],[Date]],0)</f>
        <v>45473</v>
      </c>
    </row>
    <row r="59" spans="1:3" x14ac:dyDescent="0.3">
      <c r="A59" s="13">
        <f t="shared" ca="1" si="0"/>
        <v>46083.053269675926</v>
      </c>
      <c r="B59" s="9">
        <f ca="1">DATEDIF(Table2[[#This Row],[Customer_Since]], TODAY(), "Y")</f>
        <v>2</v>
      </c>
      <c r="C59" s="14">
        <f>EOMONTH(Table2[[#This Row],[Date]],0)</f>
        <v>45473</v>
      </c>
    </row>
    <row r="60" spans="1:3" x14ac:dyDescent="0.3">
      <c r="A60" s="10">
        <f t="shared" ca="1" si="0"/>
        <v>46083.053269675926</v>
      </c>
      <c r="B60" s="11">
        <f ca="1">DATEDIF(Table2[[#This Row],[Customer_Since]], TODAY(), "Y")</f>
        <v>3</v>
      </c>
      <c r="C60" s="12">
        <f>EOMONTH(Table2[[#This Row],[Date]],0)</f>
        <v>45473</v>
      </c>
    </row>
    <row r="61" spans="1:3" x14ac:dyDescent="0.3">
      <c r="A61" s="13">
        <f t="shared" ca="1" si="0"/>
        <v>46083.053269675926</v>
      </c>
      <c r="B61" s="9">
        <f ca="1">DATEDIF(Table2[[#This Row],[Customer_Since]], TODAY(), "Y")</f>
        <v>2</v>
      </c>
      <c r="C61" s="14">
        <f>EOMONTH(Table2[[#This Row],[Date]],0)</f>
        <v>45504</v>
      </c>
    </row>
    <row r="62" spans="1:3" x14ac:dyDescent="0.3">
      <c r="A62" s="10">
        <f t="shared" ca="1" si="0"/>
        <v>46083.053269675926</v>
      </c>
      <c r="B62" s="11">
        <f ca="1">DATEDIF(Table2[[#This Row],[Customer_Since]], TODAY(), "Y")</f>
        <v>3</v>
      </c>
      <c r="C62" s="12">
        <f>EOMONTH(Table2[[#This Row],[Date]],0)</f>
        <v>45504</v>
      </c>
    </row>
    <row r="63" spans="1:3" x14ac:dyDescent="0.3">
      <c r="A63" s="13">
        <f t="shared" ca="1" si="0"/>
        <v>46083.053269675926</v>
      </c>
      <c r="B63" s="9">
        <f ca="1">DATEDIF(Table2[[#This Row],[Customer_Since]], TODAY(), "Y")</f>
        <v>4</v>
      </c>
      <c r="C63" s="14">
        <f>EOMONTH(Table2[[#This Row],[Date]],0)</f>
        <v>45504</v>
      </c>
    </row>
    <row r="64" spans="1:3" x14ac:dyDescent="0.3">
      <c r="A64" s="10">
        <f t="shared" ca="1" si="0"/>
        <v>46083.053269675926</v>
      </c>
      <c r="B64" s="11">
        <f ca="1">DATEDIF(Table2[[#This Row],[Customer_Since]], TODAY(), "Y")</f>
        <v>3</v>
      </c>
      <c r="C64" s="12">
        <f>EOMONTH(Table2[[#This Row],[Date]],0)</f>
        <v>45504</v>
      </c>
    </row>
    <row r="65" spans="1:3" x14ac:dyDescent="0.3">
      <c r="A65" s="13">
        <f t="shared" ca="1" si="0"/>
        <v>46083.053269675926</v>
      </c>
      <c r="B65" s="9">
        <f ca="1">DATEDIF(Table2[[#This Row],[Customer_Since]], TODAY(), "Y")</f>
        <v>4</v>
      </c>
      <c r="C65" s="14">
        <f>EOMONTH(Table2[[#This Row],[Date]],0)</f>
        <v>45504</v>
      </c>
    </row>
    <row r="66" spans="1:3" x14ac:dyDescent="0.3">
      <c r="A66" s="10">
        <f t="shared" ref="A66:A129" ca="1" si="1">NOW()</f>
        <v>46083.053269675926</v>
      </c>
      <c r="B66" s="11">
        <f ca="1">DATEDIF(Table2[[#This Row],[Customer_Since]], TODAY(), "Y")</f>
        <v>1</v>
      </c>
      <c r="C66" s="12">
        <f>EOMONTH(Table2[[#This Row],[Date]],0)</f>
        <v>45504</v>
      </c>
    </row>
    <row r="67" spans="1:3" x14ac:dyDescent="0.3">
      <c r="A67" s="13">
        <f t="shared" ca="1" si="1"/>
        <v>46083.053269675926</v>
      </c>
      <c r="B67" s="9">
        <f ca="1">DATEDIF(Table2[[#This Row],[Customer_Since]], TODAY(), "Y")</f>
        <v>2</v>
      </c>
      <c r="C67" s="14">
        <f>EOMONTH(Table2[[#This Row],[Date]],0)</f>
        <v>45504</v>
      </c>
    </row>
    <row r="68" spans="1:3" x14ac:dyDescent="0.3">
      <c r="A68" s="10">
        <f t="shared" ca="1" si="1"/>
        <v>46083.053269675926</v>
      </c>
      <c r="B68" s="11">
        <f ca="1">DATEDIF(Table2[[#This Row],[Customer_Since]], TODAY(), "Y")</f>
        <v>4</v>
      </c>
      <c r="C68" s="12">
        <f>EOMONTH(Table2[[#This Row],[Date]],0)</f>
        <v>45504</v>
      </c>
    </row>
    <row r="69" spans="1:3" x14ac:dyDescent="0.3">
      <c r="A69" s="13">
        <f t="shared" ca="1" si="1"/>
        <v>46083.053269675926</v>
      </c>
      <c r="B69" s="9">
        <f ca="1">DATEDIF(Table2[[#This Row],[Customer_Since]], TODAY(), "Y")</f>
        <v>3</v>
      </c>
      <c r="C69" s="14">
        <f>EOMONTH(Table2[[#This Row],[Date]],0)</f>
        <v>45504</v>
      </c>
    </row>
    <row r="70" spans="1:3" x14ac:dyDescent="0.3">
      <c r="A70" s="10">
        <f t="shared" ca="1" si="1"/>
        <v>46083.053269675926</v>
      </c>
      <c r="B70" s="11">
        <f ca="1">DATEDIF(Table2[[#This Row],[Customer_Since]], TODAY(), "Y")</f>
        <v>3</v>
      </c>
      <c r="C70" s="12">
        <f>EOMONTH(Table2[[#This Row],[Date]],0)</f>
        <v>45504</v>
      </c>
    </row>
    <row r="71" spans="1:3" x14ac:dyDescent="0.3">
      <c r="A71" s="13">
        <f t="shared" ca="1" si="1"/>
        <v>46083.053269675926</v>
      </c>
      <c r="B71" s="9">
        <f ca="1">DATEDIF(Table2[[#This Row],[Customer_Since]], TODAY(), "Y")</f>
        <v>4</v>
      </c>
      <c r="C71" s="14">
        <f>EOMONTH(Table2[[#This Row],[Date]],0)</f>
        <v>45504</v>
      </c>
    </row>
    <row r="72" spans="1:3" x14ac:dyDescent="0.3">
      <c r="A72" s="10">
        <f t="shared" ca="1" si="1"/>
        <v>46083.053269675926</v>
      </c>
      <c r="B72" s="11">
        <f ca="1">DATEDIF(Table2[[#This Row],[Customer_Since]], TODAY(), "Y")</f>
        <v>2</v>
      </c>
      <c r="C72" s="12">
        <f>EOMONTH(Table2[[#This Row],[Date]],0)</f>
        <v>45504</v>
      </c>
    </row>
    <row r="73" spans="1:3" x14ac:dyDescent="0.3">
      <c r="A73" s="13">
        <f t="shared" ca="1" si="1"/>
        <v>46083.053269675926</v>
      </c>
      <c r="B73" s="9">
        <f ca="1">DATEDIF(Table2[[#This Row],[Customer_Since]], TODAY(), "Y")</f>
        <v>2</v>
      </c>
      <c r="C73" s="14">
        <f>EOMONTH(Table2[[#This Row],[Date]],0)</f>
        <v>45504</v>
      </c>
    </row>
    <row r="74" spans="1:3" x14ac:dyDescent="0.3">
      <c r="A74" s="10">
        <f t="shared" ca="1" si="1"/>
        <v>46083.053269675926</v>
      </c>
      <c r="B74" s="11">
        <f ca="1">DATEDIF(Table2[[#This Row],[Customer_Since]], TODAY(), "Y")</f>
        <v>2</v>
      </c>
      <c r="C74" s="12">
        <f>EOMONTH(Table2[[#This Row],[Date]],0)</f>
        <v>45504</v>
      </c>
    </row>
    <row r="75" spans="1:3" x14ac:dyDescent="0.3">
      <c r="A75" s="13">
        <f t="shared" ca="1" si="1"/>
        <v>46083.053269675926</v>
      </c>
      <c r="B75" s="9">
        <f ca="1">DATEDIF(Table2[[#This Row],[Customer_Since]], TODAY(), "Y")</f>
        <v>2</v>
      </c>
      <c r="C75" s="14">
        <f>EOMONTH(Table2[[#This Row],[Date]],0)</f>
        <v>45504</v>
      </c>
    </row>
    <row r="76" spans="1:3" x14ac:dyDescent="0.3">
      <c r="A76" s="10">
        <f t="shared" ca="1" si="1"/>
        <v>46083.053269675926</v>
      </c>
      <c r="B76" s="11">
        <f ca="1">DATEDIF(Table2[[#This Row],[Customer_Since]], TODAY(), "Y")</f>
        <v>3</v>
      </c>
      <c r="C76" s="12">
        <f>EOMONTH(Table2[[#This Row],[Date]],0)</f>
        <v>45504</v>
      </c>
    </row>
    <row r="77" spans="1:3" x14ac:dyDescent="0.3">
      <c r="A77" s="13">
        <f t="shared" ca="1" si="1"/>
        <v>46083.053269675926</v>
      </c>
      <c r="B77" s="9">
        <f ca="1">DATEDIF(Table2[[#This Row],[Customer_Since]], TODAY(), "Y")</f>
        <v>2</v>
      </c>
      <c r="C77" s="14">
        <f>EOMONTH(Table2[[#This Row],[Date]],0)</f>
        <v>45504</v>
      </c>
    </row>
    <row r="78" spans="1:3" x14ac:dyDescent="0.3">
      <c r="A78" s="10">
        <f t="shared" ca="1" si="1"/>
        <v>46083.053269675926</v>
      </c>
      <c r="B78" s="11">
        <f ca="1">DATEDIF(Table2[[#This Row],[Customer_Since]], TODAY(), "Y")</f>
        <v>2</v>
      </c>
      <c r="C78" s="12">
        <f>EOMONTH(Table2[[#This Row],[Date]],0)</f>
        <v>45504</v>
      </c>
    </row>
    <row r="79" spans="1:3" x14ac:dyDescent="0.3">
      <c r="A79" s="13">
        <f t="shared" ca="1" si="1"/>
        <v>46083.053269675926</v>
      </c>
      <c r="B79" s="9">
        <f ca="1">DATEDIF(Table2[[#This Row],[Customer_Since]], TODAY(), "Y")</f>
        <v>2</v>
      </c>
      <c r="C79" s="14">
        <f>EOMONTH(Table2[[#This Row],[Date]],0)</f>
        <v>45504</v>
      </c>
    </row>
    <row r="80" spans="1:3" x14ac:dyDescent="0.3">
      <c r="A80" s="10">
        <f t="shared" ca="1" si="1"/>
        <v>46083.053269675926</v>
      </c>
      <c r="B80" s="11">
        <f ca="1">DATEDIF(Table2[[#This Row],[Customer_Since]], TODAY(), "Y")</f>
        <v>3</v>
      </c>
      <c r="C80" s="12">
        <f>EOMONTH(Table2[[#This Row],[Date]],0)</f>
        <v>45504</v>
      </c>
    </row>
    <row r="81" spans="1:3" x14ac:dyDescent="0.3">
      <c r="A81" s="13">
        <f t="shared" ca="1" si="1"/>
        <v>46083.053269675926</v>
      </c>
      <c r="B81" s="9">
        <f ca="1">DATEDIF(Table2[[#This Row],[Customer_Since]], TODAY(), "Y")</f>
        <v>3</v>
      </c>
      <c r="C81" s="14">
        <f>EOMONTH(Table2[[#This Row],[Date]],0)</f>
        <v>45504</v>
      </c>
    </row>
    <row r="82" spans="1:3" x14ac:dyDescent="0.3">
      <c r="A82" s="10">
        <f t="shared" ca="1" si="1"/>
        <v>46083.053269675926</v>
      </c>
      <c r="B82" s="11">
        <f ca="1">DATEDIF(Table2[[#This Row],[Customer_Since]], TODAY(), "Y")</f>
        <v>3</v>
      </c>
      <c r="C82" s="12">
        <f>EOMONTH(Table2[[#This Row],[Date]],0)</f>
        <v>45504</v>
      </c>
    </row>
    <row r="83" spans="1:3" x14ac:dyDescent="0.3">
      <c r="A83" s="13">
        <f t="shared" ca="1" si="1"/>
        <v>46083.053269675926</v>
      </c>
      <c r="B83" s="9">
        <f ca="1">DATEDIF(Table2[[#This Row],[Customer_Since]], TODAY(), "Y")</f>
        <v>2</v>
      </c>
      <c r="C83" s="14">
        <f>EOMONTH(Table2[[#This Row],[Date]],0)</f>
        <v>45504</v>
      </c>
    </row>
    <row r="84" spans="1:3" x14ac:dyDescent="0.3">
      <c r="A84" s="10">
        <f t="shared" ca="1" si="1"/>
        <v>46083.053269675926</v>
      </c>
      <c r="B84" s="11">
        <f ca="1">DATEDIF(Table2[[#This Row],[Customer_Since]], TODAY(), "Y")</f>
        <v>4</v>
      </c>
      <c r="C84" s="12">
        <f>EOMONTH(Table2[[#This Row],[Date]],0)</f>
        <v>45504</v>
      </c>
    </row>
    <row r="85" spans="1:3" x14ac:dyDescent="0.3">
      <c r="A85" s="13">
        <f t="shared" ca="1" si="1"/>
        <v>46083.053269675926</v>
      </c>
      <c r="B85" s="9">
        <f ca="1">DATEDIF(Table2[[#This Row],[Customer_Since]], TODAY(), "Y")</f>
        <v>4</v>
      </c>
      <c r="C85" s="14">
        <f>EOMONTH(Table2[[#This Row],[Date]],0)</f>
        <v>45535</v>
      </c>
    </row>
    <row r="86" spans="1:3" x14ac:dyDescent="0.3">
      <c r="A86" s="10">
        <f t="shared" ca="1" si="1"/>
        <v>46083.053269675926</v>
      </c>
      <c r="B86" s="11">
        <f ca="1">DATEDIF(Table2[[#This Row],[Customer_Since]], TODAY(), "Y")</f>
        <v>3</v>
      </c>
      <c r="C86" s="12">
        <f>EOMONTH(Table2[[#This Row],[Date]],0)</f>
        <v>45535</v>
      </c>
    </row>
    <row r="87" spans="1:3" x14ac:dyDescent="0.3">
      <c r="A87" s="13">
        <f t="shared" ca="1" si="1"/>
        <v>46083.053269675926</v>
      </c>
      <c r="B87" s="9">
        <f ca="1">DATEDIF(Table2[[#This Row],[Customer_Since]], TODAY(), "Y")</f>
        <v>1</v>
      </c>
      <c r="C87" s="14">
        <f>EOMONTH(Table2[[#This Row],[Date]],0)</f>
        <v>45535</v>
      </c>
    </row>
    <row r="88" spans="1:3" x14ac:dyDescent="0.3">
      <c r="A88" s="10">
        <f t="shared" ca="1" si="1"/>
        <v>46083.053269675926</v>
      </c>
      <c r="B88" s="11">
        <f ca="1">DATEDIF(Table2[[#This Row],[Customer_Since]], TODAY(), "Y")</f>
        <v>3</v>
      </c>
      <c r="C88" s="12">
        <f>EOMONTH(Table2[[#This Row],[Date]],0)</f>
        <v>45535</v>
      </c>
    </row>
    <row r="89" spans="1:3" x14ac:dyDescent="0.3">
      <c r="A89" s="13">
        <f t="shared" ca="1" si="1"/>
        <v>46083.053269675926</v>
      </c>
      <c r="B89" s="9">
        <f ca="1">DATEDIF(Table2[[#This Row],[Customer_Since]], TODAY(), "Y")</f>
        <v>3</v>
      </c>
      <c r="C89" s="14">
        <f>EOMONTH(Table2[[#This Row],[Date]],0)</f>
        <v>45535</v>
      </c>
    </row>
    <row r="90" spans="1:3" x14ac:dyDescent="0.3">
      <c r="A90" s="10">
        <f t="shared" ca="1" si="1"/>
        <v>46083.053269675926</v>
      </c>
      <c r="B90" s="11">
        <f ca="1">DATEDIF(Table2[[#This Row],[Customer_Since]], TODAY(), "Y")</f>
        <v>3</v>
      </c>
      <c r="C90" s="12">
        <f>EOMONTH(Table2[[#This Row],[Date]],0)</f>
        <v>45535</v>
      </c>
    </row>
    <row r="91" spans="1:3" x14ac:dyDescent="0.3">
      <c r="A91" s="13">
        <f t="shared" ca="1" si="1"/>
        <v>46083.053269675926</v>
      </c>
      <c r="B91" s="9">
        <f ca="1">DATEDIF(Table2[[#This Row],[Customer_Since]], TODAY(), "Y")</f>
        <v>4</v>
      </c>
      <c r="C91" s="14">
        <f>EOMONTH(Table2[[#This Row],[Date]],0)</f>
        <v>45535</v>
      </c>
    </row>
    <row r="92" spans="1:3" x14ac:dyDescent="0.3">
      <c r="A92" s="10">
        <f t="shared" ca="1" si="1"/>
        <v>46083.053269675926</v>
      </c>
      <c r="B92" s="11">
        <f ca="1">DATEDIF(Table2[[#This Row],[Customer_Since]], TODAY(), "Y")</f>
        <v>4</v>
      </c>
      <c r="C92" s="12">
        <f>EOMONTH(Table2[[#This Row],[Date]],0)</f>
        <v>45535</v>
      </c>
    </row>
    <row r="93" spans="1:3" x14ac:dyDescent="0.3">
      <c r="A93" s="13">
        <f t="shared" ca="1" si="1"/>
        <v>46083.053269675926</v>
      </c>
      <c r="B93" s="9">
        <f ca="1">DATEDIF(Table2[[#This Row],[Customer_Since]], TODAY(), "Y")</f>
        <v>2</v>
      </c>
      <c r="C93" s="14">
        <f>EOMONTH(Table2[[#This Row],[Date]],0)</f>
        <v>45535</v>
      </c>
    </row>
    <row r="94" spans="1:3" x14ac:dyDescent="0.3">
      <c r="A94" s="10">
        <f t="shared" ca="1" si="1"/>
        <v>46083.053269675926</v>
      </c>
      <c r="B94" s="11">
        <f ca="1">DATEDIF(Table2[[#This Row],[Customer_Since]], TODAY(), "Y")</f>
        <v>3</v>
      </c>
      <c r="C94" s="12">
        <f>EOMONTH(Table2[[#This Row],[Date]],0)</f>
        <v>45535</v>
      </c>
    </row>
    <row r="95" spans="1:3" x14ac:dyDescent="0.3">
      <c r="A95" s="13">
        <f t="shared" ca="1" si="1"/>
        <v>46083.053269675926</v>
      </c>
      <c r="B95" s="9">
        <f ca="1">DATEDIF(Table2[[#This Row],[Customer_Since]], TODAY(), "Y")</f>
        <v>4</v>
      </c>
      <c r="C95" s="14">
        <f>EOMONTH(Table2[[#This Row],[Date]],0)</f>
        <v>45535</v>
      </c>
    </row>
    <row r="96" spans="1:3" x14ac:dyDescent="0.3">
      <c r="A96" s="10">
        <f t="shared" ca="1" si="1"/>
        <v>46083.053269675926</v>
      </c>
      <c r="B96" s="11">
        <f ca="1">DATEDIF(Table2[[#This Row],[Customer_Since]], TODAY(), "Y")</f>
        <v>4</v>
      </c>
      <c r="C96" s="12">
        <f>EOMONTH(Table2[[#This Row],[Date]],0)</f>
        <v>45535</v>
      </c>
    </row>
    <row r="97" spans="1:3" x14ac:dyDescent="0.3">
      <c r="A97" s="13">
        <f t="shared" ca="1" si="1"/>
        <v>46083.053269675926</v>
      </c>
      <c r="B97" s="9">
        <f ca="1">DATEDIF(Table2[[#This Row],[Customer_Since]], TODAY(), "Y")</f>
        <v>2</v>
      </c>
      <c r="C97" s="14">
        <f>EOMONTH(Table2[[#This Row],[Date]],0)</f>
        <v>45535</v>
      </c>
    </row>
    <row r="98" spans="1:3" x14ac:dyDescent="0.3">
      <c r="A98" s="10">
        <f t="shared" ca="1" si="1"/>
        <v>46083.053269675926</v>
      </c>
      <c r="B98" s="11">
        <f ca="1">DATEDIF(Table2[[#This Row],[Customer_Since]], TODAY(), "Y")</f>
        <v>3</v>
      </c>
      <c r="C98" s="12">
        <f>EOMONTH(Table2[[#This Row],[Date]],0)</f>
        <v>45535</v>
      </c>
    </row>
    <row r="99" spans="1:3" x14ac:dyDescent="0.3">
      <c r="A99" s="13">
        <f t="shared" ca="1" si="1"/>
        <v>46083.053269675926</v>
      </c>
      <c r="B99" s="9">
        <f ca="1">DATEDIF(Table2[[#This Row],[Customer_Since]], TODAY(), "Y")</f>
        <v>4</v>
      </c>
      <c r="C99" s="14">
        <f>EOMONTH(Table2[[#This Row],[Date]],0)</f>
        <v>45535</v>
      </c>
    </row>
    <row r="100" spans="1:3" x14ac:dyDescent="0.3">
      <c r="A100" s="10">
        <f t="shared" ca="1" si="1"/>
        <v>46083.053269675926</v>
      </c>
      <c r="B100" s="11">
        <f ca="1">DATEDIF(Table2[[#This Row],[Customer_Since]], TODAY(), "Y")</f>
        <v>4</v>
      </c>
      <c r="C100" s="12">
        <f>EOMONTH(Table2[[#This Row],[Date]],0)</f>
        <v>45535</v>
      </c>
    </row>
    <row r="101" spans="1:3" x14ac:dyDescent="0.3">
      <c r="A101" s="13">
        <f t="shared" ca="1" si="1"/>
        <v>46083.053269675926</v>
      </c>
      <c r="B101" s="9">
        <f ca="1">DATEDIF(Table2[[#This Row],[Customer_Since]], TODAY(), "Y")</f>
        <v>2</v>
      </c>
      <c r="C101" s="14">
        <f>EOMONTH(Table2[[#This Row],[Date]],0)</f>
        <v>45535</v>
      </c>
    </row>
    <row r="102" spans="1:3" x14ac:dyDescent="0.3">
      <c r="A102" s="10">
        <f t="shared" ca="1" si="1"/>
        <v>46083.053269675926</v>
      </c>
      <c r="B102" s="11">
        <f ca="1">DATEDIF(Table2[[#This Row],[Customer_Since]], TODAY(), "Y")</f>
        <v>4</v>
      </c>
      <c r="C102" s="12">
        <f>EOMONTH(Table2[[#This Row],[Date]],0)</f>
        <v>45535</v>
      </c>
    </row>
    <row r="103" spans="1:3" x14ac:dyDescent="0.3">
      <c r="A103" s="13">
        <f t="shared" ca="1" si="1"/>
        <v>46083.053269675926</v>
      </c>
      <c r="B103" s="9">
        <f ca="1">DATEDIF(Table2[[#This Row],[Customer_Since]], TODAY(), "Y")</f>
        <v>3</v>
      </c>
      <c r="C103" s="14">
        <f>EOMONTH(Table2[[#This Row],[Date]],0)</f>
        <v>45565</v>
      </c>
    </row>
    <row r="104" spans="1:3" x14ac:dyDescent="0.3">
      <c r="A104" s="10">
        <f t="shared" ca="1" si="1"/>
        <v>46083.053269675926</v>
      </c>
      <c r="B104" s="11">
        <f ca="1">DATEDIF(Table2[[#This Row],[Customer_Since]], TODAY(), "Y")</f>
        <v>2</v>
      </c>
      <c r="C104" s="12">
        <f>EOMONTH(Table2[[#This Row],[Date]],0)</f>
        <v>45565</v>
      </c>
    </row>
    <row r="105" spans="1:3" x14ac:dyDescent="0.3">
      <c r="A105" s="13">
        <f t="shared" ca="1" si="1"/>
        <v>46083.053269675926</v>
      </c>
      <c r="B105" s="9">
        <f ca="1">DATEDIF(Table2[[#This Row],[Customer_Since]], TODAY(), "Y")</f>
        <v>3</v>
      </c>
      <c r="C105" s="14">
        <f>EOMONTH(Table2[[#This Row],[Date]],0)</f>
        <v>45565</v>
      </c>
    </row>
    <row r="106" spans="1:3" x14ac:dyDescent="0.3">
      <c r="A106" s="10">
        <f t="shared" ca="1" si="1"/>
        <v>46083.053269675926</v>
      </c>
      <c r="B106" s="11">
        <f ca="1">DATEDIF(Table2[[#This Row],[Customer_Since]], TODAY(), "Y")</f>
        <v>3</v>
      </c>
      <c r="C106" s="12">
        <f>EOMONTH(Table2[[#This Row],[Date]],0)</f>
        <v>45565</v>
      </c>
    </row>
    <row r="107" spans="1:3" x14ac:dyDescent="0.3">
      <c r="A107" s="13">
        <f t="shared" ca="1" si="1"/>
        <v>46083.053269675926</v>
      </c>
      <c r="B107" s="9">
        <f ca="1">DATEDIF(Table2[[#This Row],[Customer_Since]], TODAY(), "Y")</f>
        <v>3</v>
      </c>
      <c r="C107" s="14">
        <f>EOMONTH(Table2[[#This Row],[Date]],0)</f>
        <v>45565</v>
      </c>
    </row>
    <row r="108" spans="1:3" x14ac:dyDescent="0.3">
      <c r="A108" s="10">
        <f t="shared" ca="1" si="1"/>
        <v>46083.053269675926</v>
      </c>
      <c r="B108" s="11">
        <f ca="1">DATEDIF(Table2[[#This Row],[Customer_Since]], TODAY(), "Y")</f>
        <v>4</v>
      </c>
      <c r="C108" s="12">
        <f>EOMONTH(Table2[[#This Row],[Date]],0)</f>
        <v>45565</v>
      </c>
    </row>
    <row r="109" spans="1:3" x14ac:dyDescent="0.3">
      <c r="A109" s="13">
        <f t="shared" ca="1" si="1"/>
        <v>46083.053269675926</v>
      </c>
      <c r="B109" s="9">
        <f ca="1">DATEDIF(Table2[[#This Row],[Customer_Since]], TODAY(), "Y")</f>
        <v>3</v>
      </c>
      <c r="C109" s="14">
        <f>EOMONTH(Table2[[#This Row],[Date]],0)</f>
        <v>45565</v>
      </c>
    </row>
    <row r="110" spans="1:3" x14ac:dyDescent="0.3">
      <c r="A110" s="10">
        <f t="shared" ca="1" si="1"/>
        <v>46083.053269675926</v>
      </c>
      <c r="B110" s="11">
        <f ca="1">DATEDIF(Table2[[#This Row],[Customer_Since]], TODAY(), "Y")</f>
        <v>4</v>
      </c>
      <c r="C110" s="12">
        <f>EOMONTH(Table2[[#This Row],[Date]],0)</f>
        <v>45565</v>
      </c>
    </row>
    <row r="111" spans="1:3" x14ac:dyDescent="0.3">
      <c r="A111" s="13">
        <f t="shared" ca="1" si="1"/>
        <v>46083.053269675926</v>
      </c>
      <c r="B111" s="9">
        <f ca="1">DATEDIF(Table2[[#This Row],[Customer_Since]], TODAY(), "Y")</f>
        <v>3</v>
      </c>
      <c r="C111" s="14">
        <f>EOMONTH(Table2[[#This Row],[Date]],0)</f>
        <v>45565</v>
      </c>
    </row>
    <row r="112" spans="1:3" x14ac:dyDescent="0.3">
      <c r="A112" s="10">
        <f t="shared" ca="1" si="1"/>
        <v>46083.053269675926</v>
      </c>
      <c r="B112" s="11">
        <f ca="1">DATEDIF(Table2[[#This Row],[Customer_Since]], TODAY(), "Y")</f>
        <v>3</v>
      </c>
      <c r="C112" s="12">
        <f>EOMONTH(Table2[[#This Row],[Date]],0)</f>
        <v>45565</v>
      </c>
    </row>
    <row r="113" spans="1:3" x14ac:dyDescent="0.3">
      <c r="A113" s="13">
        <f t="shared" ca="1" si="1"/>
        <v>46083.053269675926</v>
      </c>
      <c r="B113" s="9">
        <f ca="1">DATEDIF(Table2[[#This Row],[Customer_Since]], TODAY(), "Y")</f>
        <v>2</v>
      </c>
      <c r="C113" s="14">
        <f>EOMONTH(Table2[[#This Row],[Date]],0)</f>
        <v>45565</v>
      </c>
    </row>
    <row r="114" spans="1:3" x14ac:dyDescent="0.3">
      <c r="A114" s="10">
        <f t="shared" ca="1" si="1"/>
        <v>46083.053269675926</v>
      </c>
      <c r="B114" s="11">
        <f ca="1">DATEDIF(Table2[[#This Row],[Customer_Since]], TODAY(), "Y")</f>
        <v>4</v>
      </c>
      <c r="C114" s="12">
        <f>EOMONTH(Table2[[#This Row],[Date]],0)</f>
        <v>45565</v>
      </c>
    </row>
    <row r="115" spans="1:3" x14ac:dyDescent="0.3">
      <c r="A115" s="13">
        <f t="shared" ca="1" si="1"/>
        <v>46083.053269675926</v>
      </c>
      <c r="B115" s="9">
        <f ca="1">DATEDIF(Table2[[#This Row],[Customer_Since]], TODAY(), "Y")</f>
        <v>4</v>
      </c>
      <c r="C115" s="14">
        <f>EOMONTH(Table2[[#This Row],[Date]],0)</f>
        <v>45565</v>
      </c>
    </row>
    <row r="116" spans="1:3" x14ac:dyDescent="0.3">
      <c r="A116" s="10">
        <f t="shared" ca="1" si="1"/>
        <v>46083.053269675926</v>
      </c>
      <c r="B116" s="11">
        <f ca="1">DATEDIF(Table2[[#This Row],[Customer_Since]], TODAY(), "Y")</f>
        <v>4</v>
      </c>
      <c r="C116" s="12">
        <f>EOMONTH(Table2[[#This Row],[Date]],0)</f>
        <v>45565</v>
      </c>
    </row>
    <row r="117" spans="1:3" x14ac:dyDescent="0.3">
      <c r="A117" s="13">
        <f t="shared" ca="1" si="1"/>
        <v>46083.053269675926</v>
      </c>
      <c r="B117" s="9">
        <f ca="1">DATEDIF(Table2[[#This Row],[Customer_Since]], TODAY(), "Y")</f>
        <v>4</v>
      </c>
      <c r="C117" s="14">
        <f>EOMONTH(Table2[[#This Row],[Date]],0)</f>
        <v>45565</v>
      </c>
    </row>
    <row r="118" spans="1:3" x14ac:dyDescent="0.3">
      <c r="A118" s="10">
        <f t="shared" ca="1" si="1"/>
        <v>46083.053269675926</v>
      </c>
      <c r="B118" s="11">
        <f ca="1">DATEDIF(Table2[[#This Row],[Customer_Since]], TODAY(), "Y")</f>
        <v>2</v>
      </c>
      <c r="C118" s="12">
        <f>EOMONTH(Table2[[#This Row],[Date]],0)</f>
        <v>45565</v>
      </c>
    </row>
    <row r="119" spans="1:3" x14ac:dyDescent="0.3">
      <c r="A119" s="13">
        <f t="shared" ca="1" si="1"/>
        <v>46083.053269675926</v>
      </c>
      <c r="B119" s="9">
        <f ca="1">DATEDIF(Table2[[#This Row],[Customer_Since]], TODAY(), "Y")</f>
        <v>3</v>
      </c>
      <c r="C119" s="14">
        <f>EOMONTH(Table2[[#This Row],[Date]],0)</f>
        <v>45565</v>
      </c>
    </row>
    <row r="120" spans="1:3" x14ac:dyDescent="0.3">
      <c r="A120" s="10">
        <f t="shared" ca="1" si="1"/>
        <v>46083.053269675926</v>
      </c>
      <c r="B120" s="11">
        <f ca="1">DATEDIF(Table2[[#This Row],[Customer_Since]], TODAY(), "Y")</f>
        <v>4</v>
      </c>
      <c r="C120" s="12">
        <f>EOMONTH(Table2[[#This Row],[Date]],0)</f>
        <v>45565</v>
      </c>
    </row>
    <row r="121" spans="1:3" x14ac:dyDescent="0.3">
      <c r="A121" s="13">
        <f t="shared" ca="1" si="1"/>
        <v>46083.053269675926</v>
      </c>
      <c r="B121" s="9">
        <f ca="1">DATEDIF(Table2[[#This Row],[Customer_Since]], TODAY(), "Y")</f>
        <v>3</v>
      </c>
      <c r="C121" s="14">
        <f>EOMONTH(Table2[[#This Row],[Date]],0)</f>
        <v>45565</v>
      </c>
    </row>
    <row r="122" spans="1:3" x14ac:dyDescent="0.3">
      <c r="A122" s="10">
        <f t="shared" ca="1" si="1"/>
        <v>46083.053269675926</v>
      </c>
      <c r="B122" s="11">
        <f ca="1">DATEDIF(Table2[[#This Row],[Customer_Since]], TODAY(), "Y")</f>
        <v>4</v>
      </c>
      <c r="C122" s="12">
        <f>EOMONTH(Table2[[#This Row],[Date]],0)</f>
        <v>45596</v>
      </c>
    </row>
    <row r="123" spans="1:3" x14ac:dyDescent="0.3">
      <c r="A123" s="13">
        <f t="shared" ca="1" si="1"/>
        <v>46083.053269675926</v>
      </c>
      <c r="B123" s="9">
        <f ca="1">DATEDIF(Table2[[#This Row],[Customer_Since]], TODAY(), "Y")</f>
        <v>4</v>
      </c>
      <c r="C123" s="14">
        <f>EOMONTH(Table2[[#This Row],[Date]],0)</f>
        <v>45596</v>
      </c>
    </row>
    <row r="124" spans="1:3" x14ac:dyDescent="0.3">
      <c r="A124" s="10">
        <f t="shared" ca="1" si="1"/>
        <v>46083.053269675926</v>
      </c>
      <c r="B124" s="11">
        <f ca="1">DATEDIF(Table2[[#This Row],[Customer_Since]], TODAY(), "Y")</f>
        <v>2</v>
      </c>
      <c r="C124" s="12">
        <f>EOMONTH(Table2[[#This Row],[Date]],0)</f>
        <v>45596</v>
      </c>
    </row>
    <row r="125" spans="1:3" x14ac:dyDescent="0.3">
      <c r="A125" s="13">
        <f t="shared" ca="1" si="1"/>
        <v>46083.053269675926</v>
      </c>
      <c r="B125" s="9">
        <f ca="1">DATEDIF(Table2[[#This Row],[Customer_Since]], TODAY(), "Y")</f>
        <v>2</v>
      </c>
      <c r="C125" s="14">
        <f>EOMONTH(Table2[[#This Row],[Date]],0)</f>
        <v>45596</v>
      </c>
    </row>
    <row r="126" spans="1:3" x14ac:dyDescent="0.3">
      <c r="A126" s="10">
        <f t="shared" ca="1" si="1"/>
        <v>46083.053269675926</v>
      </c>
      <c r="B126" s="11">
        <f ca="1">DATEDIF(Table2[[#This Row],[Customer_Since]], TODAY(), "Y")</f>
        <v>3</v>
      </c>
      <c r="C126" s="12">
        <f>EOMONTH(Table2[[#This Row],[Date]],0)</f>
        <v>45596</v>
      </c>
    </row>
    <row r="127" spans="1:3" x14ac:dyDescent="0.3">
      <c r="A127" s="13">
        <f t="shared" ca="1" si="1"/>
        <v>46083.053269675926</v>
      </c>
      <c r="B127" s="9">
        <f ca="1">DATEDIF(Table2[[#This Row],[Customer_Since]], TODAY(), "Y")</f>
        <v>2</v>
      </c>
      <c r="C127" s="14">
        <f>EOMONTH(Table2[[#This Row],[Date]],0)</f>
        <v>45596</v>
      </c>
    </row>
    <row r="128" spans="1:3" x14ac:dyDescent="0.3">
      <c r="A128" s="10">
        <f t="shared" ca="1" si="1"/>
        <v>46083.053269675926</v>
      </c>
      <c r="B128" s="11">
        <f ca="1">DATEDIF(Table2[[#This Row],[Customer_Since]], TODAY(), "Y")</f>
        <v>2</v>
      </c>
      <c r="C128" s="12">
        <f>EOMONTH(Table2[[#This Row],[Date]],0)</f>
        <v>45596</v>
      </c>
    </row>
    <row r="129" spans="1:3" x14ac:dyDescent="0.3">
      <c r="A129" s="13">
        <f t="shared" ca="1" si="1"/>
        <v>46083.053269675926</v>
      </c>
      <c r="B129" s="9">
        <f ca="1">DATEDIF(Table2[[#This Row],[Customer_Since]], TODAY(), "Y")</f>
        <v>2</v>
      </c>
      <c r="C129" s="14">
        <f>EOMONTH(Table2[[#This Row],[Date]],0)</f>
        <v>45596</v>
      </c>
    </row>
    <row r="130" spans="1:3" x14ac:dyDescent="0.3">
      <c r="A130" s="10">
        <f t="shared" ref="A130:A193" ca="1" si="2">NOW()</f>
        <v>46083.053269675926</v>
      </c>
      <c r="B130" s="11">
        <f ca="1">DATEDIF(Table2[[#This Row],[Customer_Since]], TODAY(), "Y")</f>
        <v>1</v>
      </c>
      <c r="C130" s="12">
        <f>EOMONTH(Table2[[#This Row],[Date]],0)</f>
        <v>45596</v>
      </c>
    </row>
    <row r="131" spans="1:3" x14ac:dyDescent="0.3">
      <c r="A131" s="13">
        <f t="shared" ca="1" si="2"/>
        <v>46083.053269675926</v>
      </c>
      <c r="B131" s="9">
        <f ca="1">DATEDIF(Table2[[#This Row],[Customer_Since]], TODAY(), "Y")</f>
        <v>1</v>
      </c>
      <c r="C131" s="14">
        <f>EOMONTH(Table2[[#This Row],[Date]],0)</f>
        <v>45596</v>
      </c>
    </row>
    <row r="132" spans="1:3" x14ac:dyDescent="0.3">
      <c r="A132" s="10">
        <f t="shared" ca="1" si="2"/>
        <v>46083.053269675926</v>
      </c>
      <c r="B132" s="11">
        <f ca="1">DATEDIF(Table2[[#This Row],[Customer_Since]], TODAY(), "Y")</f>
        <v>3</v>
      </c>
      <c r="C132" s="12">
        <f>EOMONTH(Table2[[#This Row],[Date]],0)</f>
        <v>45596</v>
      </c>
    </row>
    <row r="133" spans="1:3" x14ac:dyDescent="0.3">
      <c r="A133" s="13">
        <f t="shared" ca="1" si="2"/>
        <v>46083.053269675926</v>
      </c>
      <c r="B133" s="9">
        <f ca="1">DATEDIF(Table2[[#This Row],[Customer_Since]], TODAY(), "Y")</f>
        <v>4</v>
      </c>
      <c r="C133" s="14">
        <f>EOMONTH(Table2[[#This Row],[Date]],0)</f>
        <v>45596</v>
      </c>
    </row>
    <row r="134" spans="1:3" x14ac:dyDescent="0.3">
      <c r="A134" s="10">
        <f t="shared" ca="1" si="2"/>
        <v>46083.053269675926</v>
      </c>
      <c r="B134" s="11">
        <f ca="1">DATEDIF(Table2[[#This Row],[Customer_Since]], TODAY(), "Y")</f>
        <v>4</v>
      </c>
      <c r="C134" s="12">
        <f>EOMONTH(Table2[[#This Row],[Date]],0)</f>
        <v>45596</v>
      </c>
    </row>
    <row r="135" spans="1:3" x14ac:dyDescent="0.3">
      <c r="A135" s="13">
        <f t="shared" ca="1" si="2"/>
        <v>46083.053269675926</v>
      </c>
      <c r="B135" s="9">
        <f ca="1">DATEDIF(Table2[[#This Row],[Customer_Since]], TODAY(), "Y")</f>
        <v>2</v>
      </c>
      <c r="C135" s="14">
        <f>EOMONTH(Table2[[#This Row],[Date]],0)</f>
        <v>45596</v>
      </c>
    </row>
    <row r="136" spans="1:3" x14ac:dyDescent="0.3">
      <c r="A136" s="10">
        <f t="shared" ca="1" si="2"/>
        <v>46083.053269675926</v>
      </c>
      <c r="B136" s="11">
        <f ca="1">DATEDIF(Table2[[#This Row],[Customer_Since]], TODAY(), "Y")</f>
        <v>3</v>
      </c>
      <c r="C136" s="12">
        <f>EOMONTH(Table2[[#This Row],[Date]],0)</f>
        <v>45596</v>
      </c>
    </row>
    <row r="137" spans="1:3" x14ac:dyDescent="0.3">
      <c r="A137" s="13">
        <f t="shared" ca="1" si="2"/>
        <v>46083.053269675926</v>
      </c>
      <c r="B137" s="9">
        <f ca="1">DATEDIF(Table2[[#This Row],[Customer_Since]], TODAY(), "Y")</f>
        <v>4</v>
      </c>
      <c r="C137" s="14">
        <f>EOMONTH(Table2[[#This Row],[Date]],0)</f>
        <v>45596</v>
      </c>
    </row>
    <row r="138" spans="1:3" x14ac:dyDescent="0.3">
      <c r="A138" s="10">
        <f t="shared" ca="1" si="2"/>
        <v>46083.053269675926</v>
      </c>
      <c r="B138" s="11">
        <f ca="1">DATEDIF(Table2[[#This Row],[Customer_Since]], TODAY(), "Y")</f>
        <v>3</v>
      </c>
      <c r="C138" s="12">
        <f>EOMONTH(Table2[[#This Row],[Date]],0)</f>
        <v>45626</v>
      </c>
    </row>
    <row r="139" spans="1:3" x14ac:dyDescent="0.3">
      <c r="A139" s="13">
        <f t="shared" ca="1" si="2"/>
        <v>46083.053269675926</v>
      </c>
      <c r="B139" s="9">
        <f ca="1">DATEDIF(Table2[[#This Row],[Customer_Since]], TODAY(), "Y")</f>
        <v>4</v>
      </c>
      <c r="C139" s="14">
        <f>EOMONTH(Table2[[#This Row],[Date]],0)</f>
        <v>45626</v>
      </c>
    </row>
    <row r="140" spans="1:3" x14ac:dyDescent="0.3">
      <c r="A140" s="10">
        <f t="shared" ca="1" si="2"/>
        <v>46083.053269675926</v>
      </c>
      <c r="B140" s="11">
        <f ca="1">DATEDIF(Table2[[#This Row],[Customer_Since]], TODAY(), "Y")</f>
        <v>4</v>
      </c>
      <c r="C140" s="12">
        <f>EOMONTH(Table2[[#This Row],[Date]],0)</f>
        <v>45626</v>
      </c>
    </row>
    <row r="141" spans="1:3" x14ac:dyDescent="0.3">
      <c r="A141" s="13">
        <f t="shared" ca="1" si="2"/>
        <v>46083.053269675926</v>
      </c>
      <c r="B141" s="9">
        <f ca="1">DATEDIF(Table2[[#This Row],[Customer_Since]], TODAY(), "Y")</f>
        <v>3</v>
      </c>
      <c r="C141" s="14">
        <f>EOMONTH(Table2[[#This Row],[Date]],0)</f>
        <v>45626</v>
      </c>
    </row>
    <row r="142" spans="1:3" x14ac:dyDescent="0.3">
      <c r="A142" s="10">
        <f t="shared" ca="1" si="2"/>
        <v>46083.053269675926</v>
      </c>
      <c r="B142" s="11">
        <f ca="1">DATEDIF(Table2[[#This Row],[Customer_Since]], TODAY(), "Y")</f>
        <v>3</v>
      </c>
      <c r="C142" s="12">
        <f>EOMONTH(Table2[[#This Row],[Date]],0)</f>
        <v>45626</v>
      </c>
    </row>
    <row r="143" spans="1:3" x14ac:dyDescent="0.3">
      <c r="A143" s="13">
        <f t="shared" ca="1" si="2"/>
        <v>46083.053269675926</v>
      </c>
      <c r="B143" s="9">
        <f ca="1">DATEDIF(Table2[[#This Row],[Customer_Since]], TODAY(), "Y")</f>
        <v>3</v>
      </c>
      <c r="C143" s="14">
        <f>EOMONTH(Table2[[#This Row],[Date]],0)</f>
        <v>45626</v>
      </c>
    </row>
    <row r="144" spans="1:3" x14ac:dyDescent="0.3">
      <c r="A144" s="10">
        <f t="shared" ca="1" si="2"/>
        <v>46083.053269675926</v>
      </c>
      <c r="B144" s="11">
        <f ca="1">DATEDIF(Table2[[#This Row],[Customer_Since]], TODAY(), "Y")</f>
        <v>3</v>
      </c>
      <c r="C144" s="12">
        <f>EOMONTH(Table2[[#This Row],[Date]],0)</f>
        <v>45626</v>
      </c>
    </row>
    <row r="145" spans="1:3" x14ac:dyDescent="0.3">
      <c r="A145" s="13">
        <f t="shared" ca="1" si="2"/>
        <v>46083.053269675926</v>
      </c>
      <c r="B145" s="9">
        <f ca="1">DATEDIF(Table2[[#This Row],[Customer_Since]], TODAY(), "Y")</f>
        <v>3</v>
      </c>
      <c r="C145" s="14">
        <f>EOMONTH(Table2[[#This Row],[Date]],0)</f>
        <v>45626</v>
      </c>
    </row>
    <row r="146" spans="1:3" x14ac:dyDescent="0.3">
      <c r="A146" s="10">
        <f t="shared" ca="1" si="2"/>
        <v>46083.053269675926</v>
      </c>
      <c r="B146" s="11">
        <f ca="1">DATEDIF(Table2[[#This Row],[Customer_Since]], TODAY(), "Y")</f>
        <v>3</v>
      </c>
      <c r="C146" s="12">
        <f>EOMONTH(Table2[[#This Row],[Date]],0)</f>
        <v>45626</v>
      </c>
    </row>
    <row r="147" spans="1:3" x14ac:dyDescent="0.3">
      <c r="A147" s="13">
        <f t="shared" ca="1" si="2"/>
        <v>46083.053269675926</v>
      </c>
      <c r="B147" s="9">
        <f ca="1">DATEDIF(Table2[[#This Row],[Customer_Since]], TODAY(), "Y")</f>
        <v>2</v>
      </c>
      <c r="C147" s="14">
        <f>EOMONTH(Table2[[#This Row],[Date]],0)</f>
        <v>45626</v>
      </c>
    </row>
    <row r="148" spans="1:3" x14ac:dyDescent="0.3">
      <c r="A148" s="10">
        <f t="shared" ca="1" si="2"/>
        <v>46083.053269675926</v>
      </c>
      <c r="B148" s="11">
        <f ca="1">DATEDIF(Table2[[#This Row],[Customer_Since]], TODAY(), "Y")</f>
        <v>3</v>
      </c>
      <c r="C148" s="12">
        <f>EOMONTH(Table2[[#This Row],[Date]],0)</f>
        <v>45626</v>
      </c>
    </row>
    <row r="149" spans="1:3" x14ac:dyDescent="0.3">
      <c r="A149" s="13">
        <f t="shared" ca="1" si="2"/>
        <v>46083.053269675926</v>
      </c>
      <c r="B149" s="9">
        <f ca="1">DATEDIF(Table2[[#This Row],[Customer_Since]], TODAY(), "Y")</f>
        <v>3</v>
      </c>
      <c r="C149" s="14">
        <f>EOMONTH(Table2[[#This Row],[Date]],0)</f>
        <v>45626</v>
      </c>
    </row>
    <row r="150" spans="1:3" x14ac:dyDescent="0.3">
      <c r="A150" s="10">
        <f t="shared" ca="1" si="2"/>
        <v>46083.053269675926</v>
      </c>
      <c r="B150" s="11">
        <f ca="1">DATEDIF(Table2[[#This Row],[Customer_Since]], TODAY(), "Y")</f>
        <v>4</v>
      </c>
      <c r="C150" s="12">
        <f>EOMONTH(Table2[[#This Row],[Date]],0)</f>
        <v>45626</v>
      </c>
    </row>
    <row r="151" spans="1:3" x14ac:dyDescent="0.3">
      <c r="A151" s="13">
        <f t="shared" ca="1" si="2"/>
        <v>46083.053269675926</v>
      </c>
      <c r="B151" s="9">
        <f ca="1">DATEDIF(Table2[[#This Row],[Customer_Since]], TODAY(), "Y")</f>
        <v>4</v>
      </c>
      <c r="C151" s="14">
        <f>EOMONTH(Table2[[#This Row],[Date]],0)</f>
        <v>45626</v>
      </c>
    </row>
    <row r="152" spans="1:3" x14ac:dyDescent="0.3">
      <c r="A152" s="10">
        <f t="shared" ca="1" si="2"/>
        <v>46083.053269675926</v>
      </c>
      <c r="B152" s="11">
        <f ca="1">DATEDIF(Table2[[#This Row],[Customer_Since]], TODAY(), "Y")</f>
        <v>4</v>
      </c>
      <c r="C152" s="12">
        <f>EOMONTH(Table2[[#This Row],[Date]],0)</f>
        <v>45626</v>
      </c>
    </row>
    <row r="153" spans="1:3" x14ac:dyDescent="0.3">
      <c r="A153" s="13">
        <f t="shared" ca="1" si="2"/>
        <v>46083.053269675926</v>
      </c>
      <c r="B153" s="9">
        <f ca="1">DATEDIF(Table2[[#This Row],[Customer_Since]], TODAY(), "Y")</f>
        <v>3</v>
      </c>
      <c r="C153" s="14">
        <f>EOMONTH(Table2[[#This Row],[Date]],0)</f>
        <v>45626</v>
      </c>
    </row>
    <row r="154" spans="1:3" x14ac:dyDescent="0.3">
      <c r="A154" s="10">
        <f t="shared" ca="1" si="2"/>
        <v>46083.053269675926</v>
      </c>
      <c r="B154" s="11">
        <f ca="1">DATEDIF(Table2[[#This Row],[Customer_Since]], TODAY(), "Y")</f>
        <v>2</v>
      </c>
      <c r="C154" s="12">
        <f>EOMONTH(Table2[[#This Row],[Date]],0)</f>
        <v>45626</v>
      </c>
    </row>
    <row r="155" spans="1:3" x14ac:dyDescent="0.3">
      <c r="A155" s="13">
        <f t="shared" ca="1" si="2"/>
        <v>46083.053269675926</v>
      </c>
      <c r="B155" s="9">
        <f ca="1">DATEDIF(Table2[[#This Row],[Customer_Since]], TODAY(), "Y")</f>
        <v>3</v>
      </c>
      <c r="C155" s="14">
        <f>EOMONTH(Table2[[#This Row],[Date]],0)</f>
        <v>45657</v>
      </c>
    </row>
    <row r="156" spans="1:3" x14ac:dyDescent="0.3">
      <c r="A156" s="10">
        <f t="shared" ca="1" si="2"/>
        <v>46083.053269675926</v>
      </c>
      <c r="B156" s="11">
        <f ca="1">DATEDIF(Table2[[#This Row],[Customer_Since]], TODAY(), "Y")</f>
        <v>4</v>
      </c>
      <c r="C156" s="12">
        <f>EOMONTH(Table2[[#This Row],[Date]],0)</f>
        <v>45657</v>
      </c>
    </row>
    <row r="157" spans="1:3" x14ac:dyDescent="0.3">
      <c r="A157" s="13">
        <f t="shared" ca="1" si="2"/>
        <v>46083.053269675926</v>
      </c>
      <c r="B157" s="9">
        <f ca="1">DATEDIF(Table2[[#This Row],[Customer_Since]], TODAY(), "Y")</f>
        <v>4</v>
      </c>
      <c r="C157" s="14">
        <f>EOMONTH(Table2[[#This Row],[Date]],0)</f>
        <v>45657</v>
      </c>
    </row>
    <row r="158" spans="1:3" x14ac:dyDescent="0.3">
      <c r="A158" s="10">
        <f t="shared" ca="1" si="2"/>
        <v>46083.053269675926</v>
      </c>
      <c r="B158" s="11">
        <f ca="1">DATEDIF(Table2[[#This Row],[Customer_Since]], TODAY(), "Y")</f>
        <v>3</v>
      </c>
      <c r="C158" s="12">
        <f>EOMONTH(Table2[[#This Row],[Date]],0)</f>
        <v>45657</v>
      </c>
    </row>
    <row r="159" spans="1:3" x14ac:dyDescent="0.3">
      <c r="A159" s="13">
        <f t="shared" ca="1" si="2"/>
        <v>46083.053269675926</v>
      </c>
      <c r="B159" s="9">
        <f ca="1">DATEDIF(Table2[[#This Row],[Customer_Since]], TODAY(), "Y")</f>
        <v>2</v>
      </c>
      <c r="C159" s="14">
        <f>EOMONTH(Table2[[#This Row],[Date]],0)</f>
        <v>45657</v>
      </c>
    </row>
    <row r="160" spans="1:3" x14ac:dyDescent="0.3">
      <c r="A160" s="10">
        <f t="shared" ca="1" si="2"/>
        <v>46083.053269675926</v>
      </c>
      <c r="B160" s="11">
        <f ca="1">DATEDIF(Table2[[#This Row],[Customer_Since]], TODAY(), "Y")</f>
        <v>3</v>
      </c>
      <c r="C160" s="12">
        <f>EOMONTH(Table2[[#This Row],[Date]],0)</f>
        <v>45657</v>
      </c>
    </row>
    <row r="161" spans="1:3" x14ac:dyDescent="0.3">
      <c r="A161" s="13">
        <f t="shared" ca="1" si="2"/>
        <v>46083.053269675926</v>
      </c>
      <c r="B161" s="9">
        <f ca="1">DATEDIF(Table2[[#This Row],[Customer_Since]], TODAY(), "Y")</f>
        <v>4</v>
      </c>
      <c r="C161" s="14">
        <f>EOMONTH(Table2[[#This Row],[Date]],0)</f>
        <v>45657</v>
      </c>
    </row>
    <row r="162" spans="1:3" x14ac:dyDescent="0.3">
      <c r="A162" s="10">
        <f t="shared" ca="1" si="2"/>
        <v>46083.053269675926</v>
      </c>
      <c r="B162" s="11">
        <f ca="1">DATEDIF(Table2[[#This Row],[Customer_Since]], TODAY(), "Y")</f>
        <v>2</v>
      </c>
      <c r="C162" s="12">
        <f>EOMONTH(Table2[[#This Row],[Date]],0)</f>
        <v>45657</v>
      </c>
    </row>
    <row r="163" spans="1:3" x14ac:dyDescent="0.3">
      <c r="A163" s="13">
        <f t="shared" ca="1" si="2"/>
        <v>46083.053269675926</v>
      </c>
      <c r="B163" s="9">
        <f ca="1">DATEDIF(Table2[[#This Row],[Customer_Since]], TODAY(), "Y")</f>
        <v>3</v>
      </c>
      <c r="C163" s="14">
        <f>EOMONTH(Table2[[#This Row],[Date]],0)</f>
        <v>45657</v>
      </c>
    </row>
    <row r="164" spans="1:3" x14ac:dyDescent="0.3">
      <c r="A164" s="10">
        <f t="shared" ca="1" si="2"/>
        <v>46083.053269675926</v>
      </c>
      <c r="B164" s="11">
        <f ca="1">DATEDIF(Table2[[#This Row],[Customer_Since]], TODAY(), "Y")</f>
        <v>3</v>
      </c>
      <c r="C164" s="12">
        <f>EOMONTH(Table2[[#This Row],[Date]],0)</f>
        <v>45657</v>
      </c>
    </row>
    <row r="165" spans="1:3" x14ac:dyDescent="0.3">
      <c r="A165" s="13">
        <f t="shared" ca="1" si="2"/>
        <v>46083.053269675926</v>
      </c>
      <c r="B165" s="9">
        <f ca="1">DATEDIF(Table2[[#This Row],[Customer_Since]], TODAY(), "Y")</f>
        <v>4</v>
      </c>
      <c r="C165" s="14">
        <f>EOMONTH(Table2[[#This Row],[Date]],0)</f>
        <v>45657</v>
      </c>
    </row>
    <row r="166" spans="1:3" x14ac:dyDescent="0.3">
      <c r="A166" s="10">
        <f t="shared" ca="1" si="2"/>
        <v>46083.053269675926</v>
      </c>
      <c r="B166" s="11">
        <f ca="1">DATEDIF(Table2[[#This Row],[Customer_Since]], TODAY(), "Y")</f>
        <v>2</v>
      </c>
      <c r="C166" s="12">
        <f>EOMONTH(Table2[[#This Row],[Date]],0)</f>
        <v>45657</v>
      </c>
    </row>
    <row r="167" spans="1:3" x14ac:dyDescent="0.3">
      <c r="A167" s="13">
        <f t="shared" ca="1" si="2"/>
        <v>46083.053269675926</v>
      </c>
      <c r="B167" s="9">
        <f ca="1">DATEDIF(Table2[[#This Row],[Customer_Since]], TODAY(), "Y")</f>
        <v>3</v>
      </c>
      <c r="C167" s="14">
        <f>EOMONTH(Table2[[#This Row],[Date]],0)</f>
        <v>45657</v>
      </c>
    </row>
    <row r="168" spans="1:3" x14ac:dyDescent="0.3">
      <c r="A168" s="10">
        <f t="shared" ca="1" si="2"/>
        <v>46083.053269675926</v>
      </c>
      <c r="B168" s="11">
        <f ca="1">DATEDIF(Table2[[#This Row],[Customer_Since]], TODAY(), "Y")</f>
        <v>2</v>
      </c>
      <c r="C168" s="12">
        <f>EOMONTH(Table2[[#This Row],[Date]],0)</f>
        <v>45657</v>
      </c>
    </row>
    <row r="169" spans="1:3" x14ac:dyDescent="0.3">
      <c r="A169" s="13">
        <f t="shared" ca="1" si="2"/>
        <v>46083.053269675926</v>
      </c>
      <c r="B169" s="9">
        <f ca="1">DATEDIF(Table2[[#This Row],[Customer_Since]], TODAY(), "Y")</f>
        <v>3</v>
      </c>
      <c r="C169" s="14">
        <f>EOMONTH(Table2[[#This Row],[Date]],0)</f>
        <v>45657</v>
      </c>
    </row>
    <row r="170" spans="1:3" x14ac:dyDescent="0.3">
      <c r="A170" s="10">
        <f t="shared" ca="1" si="2"/>
        <v>46083.053269675926</v>
      </c>
      <c r="B170" s="11">
        <f ca="1">DATEDIF(Table2[[#This Row],[Customer_Since]], TODAY(), "Y")</f>
        <v>3</v>
      </c>
      <c r="C170" s="12">
        <f>EOMONTH(Table2[[#This Row],[Date]],0)</f>
        <v>45657</v>
      </c>
    </row>
    <row r="171" spans="1:3" x14ac:dyDescent="0.3">
      <c r="A171" s="13">
        <f t="shared" ca="1" si="2"/>
        <v>46083.053269675926</v>
      </c>
      <c r="B171" s="9">
        <f ca="1">DATEDIF(Table2[[#This Row],[Customer_Since]], TODAY(), "Y")</f>
        <v>2</v>
      </c>
      <c r="C171" s="14">
        <f>EOMONTH(Table2[[#This Row],[Date]],0)</f>
        <v>45657</v>
      </c>
    </row>
    <row r="172" spans="1:3" x14ac:dyDescent="0.3">
      <c r="A172" s="10">
        <f t="shared" ca="1" si="2"/>
        <v>46083.053269675926</v>
      </c>
      <c r="B172" s="11">
        <f ca="1">DATEDIF(Table2[[#This Row],[Customer_Since]], TODAY(), "Y")</f>
        <v>2</v>
      </c>
      <c r="C172" s="12">
        <f>EOMONTH(Table2[[#This Row],[Date]],0)</f>
        <v>45657</v>
      </c>
    </row>
    <row r="173" spans="1:3" x14ac:dyDescent="0.3">
      <c r="A173" s="13">
        <f t="shared" ca="1" si="2"/>
        <v>46083.053269675926</v>
      </c>
      <c r="B173" s="9">
        <f ca="1">DATEDIF(Table2[[#This Row],[Customer_Since]], TODAY(), "Y")</f>
        <v>4</v>
      </c>
      <c r="C173" s="14">
        <f>EOMONTH(Table2[[#This Row],[Date]],0)</f>
        <v>45657</v>
      </c>
    </row>
    <row r="174" spans="1:3" x14ac:dyDescent="0.3">
      <c r="A174" s="10">
        <f t="shared" ca="1" si="2"/>
        <v>46083.053269675926</v>
      </c>
      <c r="B174" s="11">
        <f ca="1">DATEDIF(Table2[[#This Row],[Customer_Since]], TODAY(), "Y")</f>
        <v>3</v>
      </c>
      <c r="C174" s="12">
        <f>EOMONTH(Table2[[#This Row],[Date]],0)</f>
        <v>45657</v>
      </c>
    </row>
    <row r="175" spans="1:3" x14ac:dyDescent="0.3">
      <c r="A175" s="13">
        <f t="shared" ca="1" si="2"/>
        <v>46083.053269675926</v>
      </c>
      <c r="B175" s="9">
        <f ca="1">DATEDIF(Table2[[#This Row],[Customer_Since]], TODAY(), "Y")</f>
        <v>3</v>
      </c>
      <c r="C175" s="14">
        <f>EOMONTH(Table2[[#This Row],[Date]],0)</f>
        <v>45657</v>
      </c>
    </row>
    <row r="176" spans="1:3" x14ac:dyDescent="0.3">
      <c r="A176" s="10">
        <f t="shared" ca="1" si="2"/>
        <v>46083.053269675926</v>
      </c>
      <c r="B176" s="11">
        <f ca="1">DATEDIF(Table2[[#This Row],[Customer_Since]], TODAY(), "Y")</f>
        <v>4</v>
      </c>
      <c r="C176" s="12">
        <f>EOMONTH(Table2[[#This Row],[Date]],0)</f>
        <v>45657</v>
      </c>
    </row>
    <row r="177" spans="1:3" x14ac:dyDescent="0.3">
      <c r="A177" s="13">
        <f t="shared" ca="1" si="2"/>
        <v>46083.053269675926</v>
      </c>
      <c r="B177" s="9">
        <f ca="1">DATEDIF(Table2[[#This Row],[Customer_Since]], TODAY(), "Y")</f>
        <v>4</v>
      </c>
      <c r="C177" s="14">
        <f>EOMONTH(Table2[[#This Row],[Date]],0)</f>
        <v>45657</v>
      </c>
    </row>
    <row r="178" spans="1:3" x14ac:dyDescent="0.3">
      <c r="A178" s="10">
        <f t="shared" ca="1" si="2"/>
        <v>46083.053269675926</v>
      </c>
      <c r="B178" s="11">
        <f ca="1">DATEDIF(Table2[[#This Row],[Customer_Since]], TODAY(), "Y")</f>
        <v>2</v>
      </c>
      <c r="C178" s="12">
        <f>EOMONTH(Table2[[#This Row],[Date]],0)</f>
        <v>45657</v>
      </c>
    </row>
    <row r="179" spans="1:3" x14ac:dyDescent="0.3">
      <c r="A179" s="13">
        <f t="shared" ca="1" si="2"/>
        <v>46083.053269675926</v>
      </c>
      <c r="B179" s="9">
        <f ca="1">DATEDIF(Table2[[#This Row],[Customer_Since]], TODAY(), "Y")</f>
        <v>2</v>
      </c>
      <c r="C179" s="14">
        <f>EOMONTH(Table2[[#This Row],[Date]],0)</f>
        <v>45657</v>
      </c>
    </row>
    <row r="180" spans="1:3" x14ac:dyDescent="0.3">
      <c r="A180" s="10">
        <f t="shared" ca="1" si="2"/>
        <v>46083.053269675926</v>
      </c>
      <c r="B180" s="11">
        <f ca="1">DATEDIF(Table2[[#This Row],[Customer_Since]], TODAY(), "Y")</f>
        <v>4</v>
      </c>
      <c r="C180" s="12">
        <f>EOMONTH(Table2[[#This Row],[Date]],0)</f>
        <v>45688</v>
      </c>
    </row>
    <row r="181" spans="1:3" x14ac:dyDescent="0.3">
      <c r="A181" s="13">
        <f t="shared" ca="1" si="2"/>
        <v>46083.053269675926</v>
      </c>
      <c r="B181" s="9">
        <f ca="1">DATEDIF(Table2[[#This Row],[Customer_Since]], TODAY(), "Y")</f>
        <v>3</v>
      </c>
      <c r="C181" s="14">
        <f>EOMONTH(Table2[[#This Row],[Date]],0)</f>
        <v>45688</v>
      </c>
    </row>
    <row r="182" spans="1:3" x14ac:dyDescent="0.3">
      <c r="A182" s="10">
        <f t="shared" ca="1" si="2"/>
        <v>46083.053269675926</v>
      </c>
      <c r="B182" s="11">
        <f ca="1">DATEDIF(Table2[[#This Row],[Customer_Since]], TODAY(), "Y")</f>
        <v>3</v>
      </c>
      <c r="C182" s="12">
        <f>EOMONTH(Table2[[#This Row],[Date]],0)</f>
        <v>45688</v>
      </c>
    </row>
    <row r="183" spans="1:3" x14ac:dyDescent="0.3">
      <c r="A183" s="13">
        <f t="shared" ca="1" si="2"/>
        <v>46083.053269675926</v>
      </c>
      <c r="B183" s="9">
        <f ca="1">DATEDIF(Table2[[#This Row],[Customer_Since]], TODAY(), "Y")</f>
        <v>4</v>
      </c>
      <c r="C183" s="14">
        <f>EOMONTH(Table2[[#This Row],[Date]],0)</f>
        <v>45688</v>
      </c>
    </row>
    <row r="184" spans="1:3" x14ac:dyDescent="0.3">
      <c r="A184" s="10">
        <f t="shared" ca="1" si="2"/>
        <v>46083.053269675926</v>
      </c>
      <c r="B184" s="11">
        <f ca="1">DATEDIF(Table2[[#This Row],[Customer_Since]], TODAY(), "Y")</f>
        <v>2</v>
      </c>
      <c r="C184" s="12">
        <f>EOMONTH(Table2[[#This Row],[Date]],0)</f>
        <v>45688</v>
      </c>
    </row>
    <row r="185" spans="1:3" x14ac:dyDescent="0.3">
      <c r="A185" s="13">
        <f t="shared" ca="1" si="2"/>
        <v>46083.053269675926</v>
      </c>
      <c r="B185" s="9">
        <f ca="1">DATEDIF(Table2[[#This Row],[Customer_Since]], TODAY(), "Y")</f>
        <v>3</v>
      </c>
      <c r="C185" s="14">
        <f>EOMONTH(Table2[[#This Row],[Date]],0)</f>
        <v>45688</v>
      </c>
    </row>
    <row r="186" spans="1:3" x14ac:dyDescent="0.3">
      <c r="A186" s="10">
        <f t="shared" ca="1" si="2"/>
        <v>46083.053269675926</v>
      </c>
      <c r="B186" s="11">
        <f ca="1">DATEDIF(Table2[[#This Row],[Customer_Since]], TODAY(), "Y")</f>
        <v>2</v>
      </c>
      <c r="C186" s="12">
        <f>EOMONTH(Table2[[#This Row],[Date]],0)</f>
        <v>45688</v>
      </c>
    </row>
    <row r="187" spans="1:3" x14ac:dyDescent="0.3">
      <c r="A187" s="13">
        <f t="shared" ca="1" si="2"/>
        <v>46083.053269675926</v>
      </c>
      <c r="B187" s="9">
        <f ca="1">DATEDIF(Table2[[#This Row],[Customer_Since]], TODAY(), "Y")</f>
        <v>4</v>
      </c>
      <c r="C187" s="14">
        <f>EOMONTH(Table2[[#This Row],[Date]],0)</f>
        <v>45688</v>
      </c>
    </row>
    <row r="188" spans="1:3" x14ac:dyDescent="0.3">
      <c r="A188" s="10">
        <f t="shared" ca="1" si="2"/>
        <v>46083.053269675926</v>
      </c>
      <c r="B188" s="11">
        <f ca="1">DATEDIF(Table2[[#This Row],[Customer_Since]], TODAY(), "Y")</f>
        <v>4</v>
      </c>
      <c r="C188" s="12">
        <f>EOMONTH(Table2[[#This Row],[Date]],0)</f>
        <v>45688</v>
      </c>
    </row>
    <row r="189" spans="1:3" x14ac:dyDescent="0.3">
      <c r="A189" s="13">
        <f t="shared" ca="1" si="2"/>
        <v>46083.053269675926</v>
      </c>
      <c r="B189" s="9">
        <f ca="1">DATEDIF(Table2[[#This Row],[Customer_Since]], TODAY(), "Y")</f>
        <v>2</v>
      </c>
      <c r="C189" s="14">
        <f>EOMONTH(Table2[[#This Row],[Date]],0)</f>
        <v>45688</v>
      </c>
    </row>
    <row r="190" spans="1:3" x14ac:dyDescent="0.3">
      <c r="A190" s="10">
        <f t="shared" ca="1" si="2"/>
        <v>46083.053269675926</v>
      </c>
      <c r="B190" s="11">
        <f ca="1">DATEDIF(Table2[[#This Row],[Customer_Since]], TODAY(), "Y")</f>
        <v>4</v>
      </c>
      <c r="C190" s="12">
        <f>EOMONTH(Table2[[#This Row],[Date]],0)</f>
        <v>45688</v>
      </c>
    </row>
    <row r="191" spans="1:3" x14ac:dyDescent="0.3">
      <c r="A191" s="13">
        <f t="shared" ca="1" si="2"/>
        <v>46083.053269675926</v>
      </c>
      <c r="B191" s="9">
        <f ca="1">DATEDIF(Table2[[#This Row],[Customer_Since]], TODAY(), "Y")</f>
        <v>4</v>
      </c>
      <c r="C191" s="14">
        <f>EOMONTH(Table2[[#This Row],[Date]],0)</f>
        <v>45688</v>
      </c>
    </row>
    <row r="192" spans="1:3" x14ac:dyDescent="0.3">
      <c r="A192" s="10">
        <f t="shared" ca="1" si="2"/>
        <v>46083.053269675926</v>
      </c>
      <c r="B192" s="11">
        <f ca="1">DATEDIF(Table2[[#This Row],[Customer_Since]], TODAY(), "Y")</f>
        <v>3</v>
      </c>
      <c r="C192" s="12">
        <f>EOMONTH(Table2[[#This Row],[Date]],0)</f>
        <v>45688</v>
      </c>
    </row>
    <row r="193" spans="1:3" x14ac:dyDescent="0.3">
      <c r="A193" s="13">
        <f t="shared" ca="1" si="2"/>
        <v>46083.053269675926</v>
      </c>
      <c r="B193" s="9">
        <f ca="1">DATEDIF(Table2[[#This Row],[Customer_Since]], TODAY(), "Y")</f>
        <v>2</v>
      </c>
      <c r="C193" s="14">
        <f>EOMONTH(Table2[[#This Row],[Date]],0)</f>
        <v>45688</v>
      </c>
    </row>
    <row r="194" spans="1:3" x14ac:dyDescent="0.3">
      <c r="A194" s="10">
        <f t="shared" ref="A194:A251" ca="1" si="3">NOW()</f>
        <v>46083.053269675926</v>
      </c>
      <c r="B194" s="11">
        <f ca="1">DATEDIF(Table2[[#This Row],[Customer_Since]], TODAY(), "Y")</f>
        <v>4</v>
      </c>
      <c r="C194" s="12">
        <f>EOMONTH(Table2[[#This Row],[Date]],0)</f>
        <v>45688</v>
      </c>
    </row>
    <row r="195" spans="1:3" x14ac:dyDescent="0.3">
      <c r="A195" s="13">
        <f t="shared" ca="1" si="3"/>
        <v>46083.053269675926</v>
      </c>
      <c r="B195" s="9">
        <f ca="1">DATEDIF(Table2[[#This Row],[Customer_Since]], TODAY(), "Y")</f>
        <v>4</v>
      </c>
      <c r="C195" s="14">
        <f>EOMONTH(Table2[[#This Row],[Date]],0)</f>
        <v>45688</v>
      </c>
    </row>
    <row r="196" spans="1:3" x14ac:dyDescent="0.3">
      <c r="A196" s="10">
        <f t="shared" ca="1" si="3"/>
        <v>46083.053269675926</v>
      </c>
      <c r="B196" s="11">
        <f ca="1">DATEDIF(Table2[[#This Row],[Customer_Since]], TODAY(), "Y")</f>
        <v>4</v>
      </c>
      <c r="C196" s="12">
        <f>EOMONTH(Table2[[#This Row],[Date]],0)</f>
        <v>45688</v>
      </c>
    </row>
    <row r="197" spans="1:3" x14ac:dyDescent="0.3">
      <c r="A197" s="13">
        <f t="shared" ca="1" si="3"/>
        <v>46083.053269675926</v>
      </c>
      <c r="B197" s="9">
        <f ca="1">DATEDIF(Table2[[#This Row],[Customer_Since]], TODAY(), "Y")</f>
        <v>3</v>
      </c>
      <c r="C197" s="14">
        <f>EOMONTH(Table2[[#This Row],[Date]],0)</f>
        <v>45688</v>
      </c>
    </row>
    <row r="198" spans="1:3" x14ac:dyDescent="0.3">
      <c r="A198" s="10">
        <f t="shared" ca="1" si="3"/>
        <v>46083.053269675926</v>
      </c>
      <c r="B198" s="11">
        <f ca="1">DATEDIF(Table2[[#This Row],[Customer_Since]], TODAY(), "Y")</f>
        <v>4</v>
      </c>
      <c r="C198" s="12">
        <f>EOMONTH(Table2[[#This Row],[Date]],0)</f>
        <v>45688</v>
      </c>
    </row>
    <row r="199" spans="1:3" x14ac:dyDescent="0.3">
      <c r="A199" s="13">
        <f t="shared" ca="1" si="3"/>
        <v>46083.053269675926</v>
      </c>
      <c r="B199" s="9">
        <f ca="1">DATEDIF(Table2[[#This Row],[Customer_Since]], TODAY(), "Y")</f>
        <v>2</v>
      </c>
      <c r="C199" s="14">
        <f>EOMONTH(Table2[[#This Row],[Date]],0)</f>
        <v>45688</v>
      </c>
    </row>
    <row r="200" spans="1:3" x14ac:dyDescent="0.3">
      <c r="A200" s="10">
        <f t="shared" ca="1" si="3"/>
        <v>46083.053269675926</v>
      </c>
      <c r="B200" s="11">
        <f ca="1">DATEDIF(Table2[[#This Row],[Customer_Since]], TODAY(), "Y")</f>
        <v>3</v>
      </c>
      <c r="C200" s="12">
        <f>EOMONTH(Table2[[#This Row],[Date]],0)</f>
        <v>45688</v>
      </c>
    </row>
    <row r="201" spans="1:3" x14ac:dyDescent="0.3">
      <c r="A201" s="13">
        <f t="shared" ca="1" si="3"/>
        <v>46083.053269675926</v>
      </c>
      <c r="B201" s="9">
        <f ca="1">DATEDIF(Table2[[#This Row],[Customer_Since]], TODAY(), "Y")</f>
        <v>3</v>
      </c>
      <c r="C201" s="14">
        <f>EOMONTH(Table2[[#This Row],[Date]],0)</f>
        <v>45688</v>
      </c>
    </row>
    <row r="202" spans="1:3" x14ac:dyDescent="0.3">
      <c r="A202" s="10">
        <f t="shared" ca="1" si="3"/>
        <v>46083.053269675926</v>
      </c>
      <c r="B202" s="11">
        <f ca="1">DATEDIF(Table2[[#This Row],[Customer_Since]], TODAY(), "Y")</f>
        <v>3</v>
      </c>
      <c r="C202" s="12">
        <f>EOMONTH(Table2[[#This Row],[Date]],0)</f>
        <v>45688</v>
      </c>
    </row>
    <row r="203" spans="1:3" x14ac:dyDescent="0.3">
      <c r="A203" s="13">
        <f t="shared" ca="1" si="3"/>
        <v>46083.053269675926</v>
      </c>
      <c r="B203" s="9">
        <f ca="1">DATEDIF(Table2[[#This Row],[Customer_Since]], TODAY(), "Y")</f>
        <v>3</v>
      </c>
      <c r="C203" s="14">
        <f>EOMONTH(Table2[[#This Row],[Date]],0)</f>
        <v>45688</v>
      </c>
    </row>
    <row r="204" spans="1:3" x14ac:dyDescent="0.3">
      <c r="A204" s="10">
        <f t="shared" ca="1" si="3"/>
        <v>46083.053269675926</v>
      </c>
      <c r="B204" s="11">
        <f ca="1">DATEDIF(Table2[[#This Row],[Customer_Since]], TODAY(), "Y")</f>
        <v>3</v>
      </c>
      <c r="C204" s="12">
        <f>EOMONTH(Table2[[#This Row],[Date]],0)</f>
        <v>45688</v>
      </c>
    </row>
    <row r="205" spans="1:3" x14ac:dyDescent="0.3">
      <c r="A205" s="13">
        <f t="shared" ca="1" si="3"/>
        <v>46083.053269675926</v>
      </c>
      <c r="B205" s="9">
        <f ca="1">DATEDIF(Table2[[#This Row],[Customer_Since]], TODAY(), "Y")</f>
        <v>2</v>
      </c>
      <c r="C205" s="14">
        <f>EOMONTH(Table2[[#This Row],[Date]],0)</f>
        <v>45688</v>
      </c>
    </row>
    <row r="206" spans="1:3" x14ac:dyDescent="0.3">
      <c r="A206" s="10">
        <f t="shared" ca="1" si="3"/>
        <v>46083.053269675926</v>
      </c>
      <c r="B206" s="11">
        <f ca="1">DATEDIF(Table2[[#This Row],[Customer_Since]], TODAY(), "Y")</f>
        <v>2</v>
      </c>
      <c r="C206" s="12">
        <f>EOMONTH(Table2[[#This Row],[Date]],0)</f>
        <v>45716</v>
      </c>
    </row>
    <row r="207" spans="1:3" x14ac:dyDescent="0.3">
      <c r="A207" s="13">
        <f t="shared" ca="1" si="3"/>
        <v>46083.053269675926</v>
      </c>
      <c r="B207" s="9">
        <f ca="1">DATEDIF(Table2[[#This Row],[Customer_Since]], TODAY(), "Y")</f>
        <v>4</v>
      </c>
      <c r="C207" s="14">
        <f>EOMONTH(Table2[[#This Row],[Date]],0)</f>
        <v>45716</v>
      </c>
    </row>
    <row r="208" spans="1:3" x14ac:dyDescent="0.3">
      <c r="A208" s="10">
        <f t="shared" ca="1" si="3"/>
        <v>46083.053269675926</v>
      </c>
      <c r="B208" s="11">
        <f ca="1">DATEDIF(Table2[[#This Row],[Customer_Since]], TODAY(), "Y")</f>
        <v>3</v>
      </c>
      <c r="C208" s="12">
        <f>EOMONTH(Table2[[#This Row],[Date]],0)</f>
        <v>45716</v>
      </c>
    </row>
    <row r="209" spans="1:3" x14ac:dyDescent="0.3">
      <c r="A209" s="13">
        <f t="shared" ca="1" si="3"/>
        <v>46083.053269675926</v>
      </c>
      <c r="B209" s="9">
        <f ca="1">DATEDIF(Table2[[#This Row],[Customer_Since]], TODAY(), "Y")</f>
        <v>2</v>
      </c>
      <c r="C209" s="14">
        <f>EOMONTH(Table2[[#This Row],[Date]],0)</f>
        <v>45716</v>
      </c>
    </row>
    <row r="210" spans="1:3" x14ac:dyDescent="0.3">
      <c r="A210" s="10">
        <f t="shared" ca="1" si="3"/>
        <v>46083.053269675926</v>
      </c>
      <c r="B210" s="11">
        <f ca="1">DATEDIF(Table2[[#This Row],[Customer_Since]], TODAY(), "Y")</f>
        <v>4</v>
      </c>
      <c r="C210" s="12">
        <f>EOMONTH(Table2[[#This Row],[Date]],0)</f>
        <v>45716</v>
      </c>
    </row>
    <row r="211" spans="1:3" x14ac:dyDescent="0.3">
      <c r="A211" s="13">
        <f t="shared" ca="1" si="3"/>
        <v>46083.053269675926</v>
      </c>
      <c r="B211" s="9">
        <f ca="1">DATEDIF(Table2[[#This Row],[Customer_Since]], TODAY(), "Y")</f>
        <v>3</v>
      </c>
      <c r="C211" s="14">
        <f>EOMONTH(Table2[[#This Row],[Date]],0)</f>
        <v>45716</v>
      </c>
    </row>
    <row r="212" spans="1:3" x14ac:dyDescent="0.3">
      <c r="A212" s="10">
        <f t="shared" ca="1" si="3"/>
        <v>46083.053269675926</v>
      </c>
      <c r="B212" s="11">
        <f ca="1">DATEDIF(Table2[[#This Row],[Customer_Since]], TODAY(), "Y")</f>
        <v>2</v>
      </c>
      <c r="C212" s="12">
        <f>EOMONTH(Table2[[#This Row],[Date]],0)</f>
        <v>45716</v>
      </c>
    </row>
    <row r="213" spans="1:3" x14ac:dyDescent="0.3">
      <c r="A213" s="13">
        <f t="shared" ca="1" si="3"/>
        <v>46083.053269675926</v>
      </c>
      <c r="B213" s="9">
        <f ca="1">DATEDIF(Table2[[#This Row],[Customer_Since]], TODAY(), "Y")</f>
        <v>3</v>
      </c>
      <c r="C213" s="14">
        <f>EOMONTH(Table2[[#This Row],[Date]],0)</f>
        <v>45716</v>
      </c>
    </row>
    <row r="214" spans="1:3" x14ac:dyDescent="0.3">
      <c r="A214" s="10">
        <f t="shared" ca="1" si="3"/>
        <v>46083.053269675926</v>
      </c>
      <c r="B214" s="11">
        <f ca="1">DATEDIF(Table2[[#This Row],[Customer_Since]], TODAY(), "Y")</f>
        <v>2</v>
      </c>
      <c r="C214" s="12">
        <f>EOMONTH(Table2[[#This Row],[Date]],0)</f>
        <v>45716</v>
      </c>
    </row>
    <row r="215" spans="1:3" x14ac:dyDescent="0.3">
      <c r="A215" s="13">
        <f t="shared" ca="1" si="3"/>
        <v>46083.053269675926</v>
      </c>
      <c r="B215" s="9">
        <f ca="1">DATEDIF(Table2[[#This Row],[Customer_Since]], TODAY(), "Y")</f>
        <v>3</v>
      </c>
      <c r="C215" s="14">
        <f>EOMONTH(Table2[[#This Row],[Date]],0)</f>
        <v>45716</v>
      </c>
    </row>
    <row r="216" spans="1:3" x14ac:dyDescent="0.3">
      <c r="A216" s="10">
        <f t="shared" ca="1" si="3"/>
        <v>46083.053269675926</v>
      </c>
      <c r="B216" s="11">
        <f ca="1">DATEDIF(Table2[[#This Row],[Customer_Since]], TODAY(), "Y")</f>
        <v>4</v>
      </c>
      <c r="C216" s="12">
        <f>EOMONTH(Table2[[#This Row],[Date]],0)</f>
        <v>45716</v>
      </c>
    </row>
    <row r="217" spans="1:3" x14ac:dyDescent="0.3">
      <c r="A217" s="13">
        <f t="shared" ca="1" si="3"/>
        <v>46083.053269675926</v>
      </c>
      <c r="B217" s="9">
        <f ca="1">DATEDIF(Table2[[#This Row],[Customer_Since]], TODAY(), "Y")</f>
        <v>3</v>
      </c>
      <c r="C217" s="14">
        <f>EOMONTH(Table2[[#This Row],[Date]],0)</f>
        <v>45716</v>
      </c>
    </row>
    <row r="218" spans="1:3" x14ac:dyDescent="0.3">
      <c r="A218" s="10">
        <f t="shared" ca="1" si="3"/>
        <v>46083.053269675926</v>
      </c>
      <c r="B218" s="11">
        <f ca="1">DATEDIF(Table2[[#This Row],[Customer_Since]], TODAY(), "Y")</f>
        <v>2</v>
      </c>
      <c r="C218" s="12">
        <f>EOMONTH(Table2[[#This Row],[Date]],0)</f>
        <v>45716</v>
      </c>
    </row>
    <row r="219" spans="1:3" x14ac:dyDescent="0.3">
      <c r="A219" s="13">
        <f t="shared" ca="1" si="3"/>
        <v>46083.053269675926</v>
      </c>
      <c r="B219" s="9">
        <f ca="1">DATEDIF(Table2[[#This Row],[Customer_Since]], TODAY(), "Y")</f>
        <v>3</v>
      </c>
      <c r="C219" s="14">
        <f>EOMONTH(Table2[[#This Row],[Date]],0)</f>
        <v>45716</v>
      </c>
    </row>
    <row r="220" spans="1:3" x14ac:dyDescent="0.3">
      <c r="A220" s="10">
        <f t="shared" ca="1" si="3"/>
        <v>46083.053269675926</v>
      </c>
      <c r="B220" s="11">
        <f ca="1">DATEDIF(Table2[[#This Row],[Customer_Since]], TODAY(), "Y")</f>
        <v>4</v>
      </c>
      <c r="C220" s="12">
        <f>EOMONTH(Table2[[#This Row],[Date]],0)</f>
        <v>45716</v>
      </c>
    </row>
    <row r="221" spans="1:3" x14ac:dyDescent="0.3">
      <c r="A221" s="13">
        <f t="shared" ca="1" si="3"/>
        <v>46083.053269675926</v>
      </c>
      <c r="B221" s="9">
        <f ca="1">DATEDIF(Table2[[#This Row],[Customer_Since]], TODAY(), "Y")</f>
        <v>4</v>
      </c>
      <c r="C221" s="14">
        <f>EOMONTH(Table2[[#This Row],[Date]],0)</f>
        <v>45716</v>
      </c>
    </row>
    <row r="222" spans="1:3" x14ac:dyDescent="0.3">
      <c r="A222" s="10">
        <f t="shared" ca="1" si="3"/>
        <v>46083.053269675926</v>
      </c>
      <c r="B222" s="11">
        <f ca="1">DATEDIF(Table2[[#This Row],[Customer_Since]], TODAY(), "Y")</f>
        <v>2</v>
      </c>
      <c r="C222" s="12">
        <f>EOMONTH(Table2[[#This Row],[Date]],0)</f>
        <v>45716</v>
      </c>
    </row>
    <row r="223" spans="1:3" x14ac:dyDescent="0.3">
      <c r="A223" s="13">
        <f t="shared" ca="1" si="3"/>
        <v>46083.053269675926</v>
      </c>
      <c r="B223" s="9">
        <f ca="1">DATEDIF(Table2[[#This Row],[Customer_Since]], TODAY(), "Y")</f>
        <v>4</v>
      </c>
      <c r="C223" s="14">
        <f>EOMONTH(Table2[[#This Row],[Date]],0)</f>
        <v>45716</v>
      </c>
    </row>
    <row r="224" spans="1:3" x14ac:dyDescent="0.3">
      <c r="A224" s="10">
        <f t="shared" ca="1" si="3"/>
        <v>46083.053269675926</v>
      </c>
      <c r="B224" s="11">
        <f ca="1">DATEDIF(Table2[[#This Row],[Customer_Since]], TODAY(), "Y")</f>
        <v>2</v>
      </c>
      <c r="C224" s="12">
        <f>EOMONTH(Table2[[#This Row],[Date]],0)</f>
        <v>45716</v>
      </c>
    </row>
    <row r="225" spans="1:3" x14ac:dyDescent="0.3">
      <c r="A225" s="13">
        <f t="shared" ca="1" si="3"/>
        <v>46083.053269675926</v>
      </c>
      <c r="B225" s="9">
        <f ca="1">DATEDIF(Table2[[#This Row],[Customer_Since]], TODAY(), "Y")</f>
        <v>4</v>
      </c>
      <c r="C225" s="14">
        <f>EOMONTH(Table2[[#This Row],[Date]],0)</f>
        <v>45716</v>
      </c>
    </row>
    <row r="226" spans="1:3" x14ac:dyDescent="0.3">
      <c r="A226" s="10">
        <f t="shared" ca="1" si="3"/>
        <v>46083.053269675926</v>
      </c>
      <c r="B226" s="11">
        <f ca="1">DATEDIF(Table2[[#This Row],[Customer_Since]], TODAY(), "Y")</f>
        <v>2</v>
      </c>
      <c r="C226" s="12">
        <f>EOMONTH(Table2[[#This Row],[Date]],0)</f>
        <v>45747</v>
      </c>
    </row>
    <row r="227" spans="1:3" x14ac:dyDescent="0.3">
      <c r="A227" s="13">
        <f t="shared" ca="1" si="3"/>
        <v>46083.053269675926</v>
      </c>
      <c r="B227" s="9">
        <f ca="1">DATEDIF(Table2[[#This Row],[Customer_Since]], TODAY(), "Y")</f>
        <v>2</v>
      </c>
      <c r="C227" s="14">
        <f>EOMONTH(Table2[[#This Row],[Date]],0)</f>
        <v>45747</v>
      </c>
    </row>
    <row r="228" spans="1:3" x14ac:dyDescent="0.3">
      <c r="A228" s="10">
        <f t="shared" ca="1" si="3"/>
        <v>46083.053269675926</v>
      </c>
      <c r="B228" s="11">
        <f ca="1">DATEDIF(Table2[[#This Row],[Customer_Since]], TODAY(), "Y")</f>
        <v>2</v>
      </c>
      <c r="C228" s="12">
        <f>EOMONTH(Table2[[#This Row],[Date]],0)</f>
        <v>45747</v>
      </c>
    </row>
    <row r="229" spans="1:3" x14ac:dyDescent="0.3">
      <c r="A229" s="13">
        <f t="shared" ca="1" si="3"/>
        <v>46083.053269675926</v>
      </c>
      <c r="B229" s="9">
        <f ca="1">DATEDIF(Table2[[#This Row],[Customer_Since]], TODAY(), "Y")</f>
        <v>2</v>
      </c>
      <c r="C229" s="14">
        <f>EOMONTH(Table2[[#This Row],[Date]],0)</f>
        <v>45747</v>
      </c>
    </row>
    <row r="230" spans="1:3" x14ac:dyDescent="0.3">
      <c r="A230" s="10">
        <f t="shared" ca="1" si="3"/>
        <v>46083.053269675926</v>
      </c>
      <c r="B230" s="11">
        <f ca="1">DATEDIF(Table2[[#This Row],[Customer_Since]], TODAY(), "Y")</f>
        <v>4</v>
      </c>
      <c r="C230" s="12">
        <f>EOMONTH(Table2[[#This Row],[Date]],0)</f>
        <v>45747</v>
      </c>
    </row>
    <row r="231" spans="1:3" x14ac:dyDescent="0.3">
      <c r="A231" s="13">
        <f t="shared" ca="1" si="3"/>
        <v>46083.053269675926</v>
      </c>
      <c r="B231" s="9">
        <f ca="1">DATEDIF(Table2[[#This Row],[Customer_Since]], TODAY(), "Y")</f>
        <v>3</v>
      </c>
      <c r="C231" s="14">
        <f>EOMONTH(Table2[[#This Row],[Date]],0)</f>
        <v>45747</v>
      </c>
    </row>
    <row r="232" spans="1:3" x14ac:dyDescent="0.3">
      <c r="A232" s="10">
        <f t="shared" ca="1" si="3"/>
        <v>46083.053269675926</v>
      </c>
      <c r="B232" s="11">
        <f ca="1">DATEDIF(Table2[[#This Row],[Customer_Since]], TODAY(), "Y")</f>
        <v>1</v>
      </c>
      <c r="C232" s="12">
        <f>EOMONTH(Table2[[#This Row],[Date]],0)</f>
        <v>45747</v>
      </c>
    </row>
    <row r="233" spans="1:3" x14ac:dyDescent="0.3">
      <c r="A233" s="13">
        <f t="shared" ca="1" si="3"/>
        <v>46083.053269675926</v>
      </c>
      <c r="B233" s="9">
        <f ca="1">DATEDIF(Table2[[#This Row],[Customer_Since]], TODAY(), "Y")</f>
        <v>2</v>
      </c>
      <c r="C233" s="14">
        <f>EOMONTH(Table2[[#This Row],[Date]],0)</f>
        <v>45747</v>
      </c>
    </row>
    <row r="234" spans="1:3" x14ac:dyDescent="0.3">
      <c r="A234" s="10">
        <f t="shared" ca="1" si="3"/>
        <v>46083.053269675926</v>
      </c>
      <c r="B234" s="11">
        <f ca="1">DATEDIF(Table2[[#This Row],[Customer_Since]], TODAY(), "Y")</f>
        <v>2</v>
      </c>
      <c r="C234" s="12">
        <f>EOMONTH(Table2[[#This Row],[Date]],0)</f>
        <v>45747</v>
      </c>
    </row>
    <row r="235" spans="1:3" x14ac:dyDescent="0.3">
      <c r="A235" s="13">
        <f t="shared" ca="1" si="3"/>
        <v>46083.053269675926</v>
      </c>
      <c r="B235" s="9">
        <f ca="1">DATEDIF(Table2[[#This Row],[Customer_Since]], TODAY(), "Y")</f>
        <v>2</v>
      </c>
      <c r="C235" s="14">
        <f>EOMONTH(Table2[[#This Row],[Date]],0)</f>
        <v>45747</v>
      </c>
    </row>
    <row r="236" spans="1:3" x14ac:dyDescent="0.3">
      <c r="A236" s="10">
        <f t="shared" ca="1" si="3"/>
        <v>46083.053269675926</v>
      </c>
      <c r="B236" s="11">
        <f ca="1">DATEDIF(Table2[[#This Row],[Customer_Since]], TODAY(), "Y")</f>
        <v>2</v>
      </c>
      <c r="C236" s="12">
        <f>EOMONTH(Table2[[#This Row],[Date]],0)</f>
        <v>45747</v>
      </c>
    </row>
    <row r="237" spans="1:3" x14ac:dyDescent="0.3">
      <c r="A237" s="13">
        <f t="shared" ca="1" si="3"/>
        <v>46083.053269675926</v>
      </c>
      <c r="B237" s="9">
        <f ca="1">DATEDIF(Table2[[#This Row],[Customer_Since]], TODAY(), "Y")</f>
        <v>3</v>
      </c>
      <c r="C237" s="14">
        <f>EOMONTH(Table2[[#This Row],[Date]],0)</f>
        <v>45747</v>
      </c>
    </row>
    <row r="238" spans="1:3" x14ac:dyDescent="0.3">
      <c r="A238" s="10">
        <f t="shared" ca="1" si="3"/>
        <v>46083.053269675926</v>
      </c>
      <c r="B238" s="11">
        <f ca="1">DATEDIF(Table2[[#This Row],[Customer_Since]], TODAY(), "Y")</f>
        <v>3</v>
      </c>
      <c r="C238" s="12">
        <f>EOMONTH(Table2[[#This Row],[Date]],0)</f>
        <v>45747</v>
      </c>
    </row>
    <row r="239" spans="1:3" x14ac:dyDescent="0.3">
      <c r="A239" s="13">
        <f t="shared" ca="1" si="3"/>
        <v>46083.053269675926</v>
      </c>
      <c r="B239" s="9">
        <f ca="1">DATEDIF(Table2[[#This Row],[Customer_Since]], TODAY(), "Y")</f>
        <v>2</v>
      </c>
      <c r="C239" s="14">
        <f>EOMONTH(Table2[[#This Row],[Date]],0)</f>
        <v>45747</v>
      </c>
    </row>
    <row r="240" spans="1:3" x14ac:dyDescent="0.3">
      <c r="A240" s="10">
        <f t="shared" ca="1" si="3"/>
        <v>46083.053269675926</v>
      </c>
      <c r="B240" s="11">
        <f ca="1">DATEDIF(Table2[[#This Row],[Customer_Since]], TODAY(), "Y")</f>
        <v>4</v>
      </c>
      <c r="C240" s="12">
        <f>EOMONTH(Table2[[#This Row],[Date]],0)</f>
        <v>45747</v>
      </c>
    </row>
    <row r="241" spans="1:3" x14ac:dyDescent="0.3">
      <c r="A241" s="13">
        <f t="shared" ca="1" si="3"/>
        <v>46083.053269675926</v>
      </c>
      <c r="B241" s="9">
        <f ca="1">DATEDIF(Table2[[#This Row],[Customer_Since]], TODAY(), "Y")</f>
        <v>2</v>
      </c>
      <c r="C241" s="14">
        <f>EOMONTH(Table2[[#This Row],[Date]],0)</f>
        <v>45747</v>
      </c>
    </row>
    <row r="242" spans="1:3" x14ac:dyDescent="0.3">
      <c r="A242" s="10">
        <f t="shared" ca="1" si="3"/>
        <v>46083.053269675926</v>
      </c>
      <c r="B242" s="11">
        <f ca="1">DATEDIF(Table2[[#This Row],[Customer_Since]], TODAY(), "Y")</f>
        <v>3</v>
      </c>
      <c r="C242" s="12">
        <f>EOMONTH(Table2[[#This Row],[Date]],0)</f>
        <v>45747</v>
      </c>
    </row>
    <row r="243" spans="1:3" x14ac:dyDescent="0.3">
      <c r="A243" s="13">
        <f t="shared" ca="1" si="3"/>
        <v>46083.053269675926</v>
      </c>
      <c r="B243" s="9">
        <f ca="1">DATEDIF(Table2[[#This Row],[Customer_Since]], TODAY(), "Y")</f>
        <v>2</v>
      </c>
      <c r="C243" s="14">
        <f>EOMONTH(Table2[[#This Row],[Date]],0)</f>
        <v>45747</v>
      </c>
    </row>
    <row r="244" spans="1:3" x14ac:dyDescent="0.3">
      <c r="A244" s="10">
        <f t="shared" ca="1" si="3"/>
        <v>46083.053269675926</v>
      </c>
      <c r="B244" s="11">
        <f ca="1">DATEDIF(Table2[[#This Row],[Customer_Since]], TODAY(), "Y")</f>
        <v>4</v>
      </c>
      <c r="C244" s="12">
        <f>EOMONTH(Table2[[#This Row],[Date]],0)</f>
        <v>45747</v>
      </c>
    </row>
    <row r="245" spans="1:3" x14ac:dyDescent="0.3">
      <c r="A245" s="13">
        <f t="shared" ca="1" si="3"/>
        <v>46083.053269675926</v>
      </c>
      <c r="B245" s="9">
        <f ca="1">DATEDIF(Table2[[#This Row],[Customer_Since]], TODAY(), "Y")</f>
        <v>4</v>
      </c>
      <c r="C245" s="14">
        <f>EOMONTH(Table2[[#This Row],[Date]],0)</f>
        <v>45777</v>
      </c>
    </row>
    <row r="246" spans="1:3" x14ac:dyDescent="0.3">
      <c r="A246" s="10">
        <f t="shared" ca="1" si="3"/>
        <v>46083.053269675926</v>
      </c>
      <c r="B246" s="11">
        <f ca="1">DATEDIF(Table2[[#This Row],[Customer_Since]], TODAY(), "Y")</f>
        <v>3</v>
      </c>
      <c r="C246" s="12">
        <f>EOMONTH(Table2[[#This Row],[Date]],0)</f>
        <v>45777</v>
      </c>
    </row>
    <row r="247" spans="1:3" x14ac:dyDescent="0.3">
      <c r="A247" s="13">
        <f t="shared" ca="1" si="3"/>
        <v>46083.053269675926</v>
      </c>
      <c r="B247" s="9">
        <f ca="1">DATEDIF(Table2[[#This Row],[Customer_Since]], TODAY(), "Y")</f>
        <v>4</v>
      </c>
      <c r="C247" s="14">
        <f>EOMONTH(Table2[[#This Row],[Date]],0)</f>
        <v>45777</v>
      </c>
    </row>
    <row r="248" spans="1:3" x14ac:dyDescent="0.3">
      <c r="A248" s="10">
        <f t="shared" ca="1" si="3"/>
        <v>46083.053269675926</v>
      </c>
      <c r="B248" s="11">
        <f ca="1">DATEDIF(Table2[[#This Row],[Customer_Since]], TODAY(), "Y")</f>
        <v>2</v>
      </c>
      <c r="C248" s="12">
        <f>EOMONTH(Table2[[#This Row],[Date]],0)</f>
        <v>45777</v>
      </c>
    </row>
    <row r="249" spans="1:3" x14ac:dyDescent="0.3">
      <c r="A249" s="13">
        <f t="shared" ca="1" si="3"/>
        <v>46083.053269675926</v>
      </c>
      <c r="B249" s="9">
        <f ca="1">DATEDIF(Table2[[#This Row],[Customer_Since]], TODAY(), "Y")</f>
        <v>3</v>
      </c>
      <c r="C249" s="14">
        <f>EOMONTH(Table2[[#This Row],[Date]],0)</f>
        <v>45777</v>
      </c>
    </row>
    <row r="250" spans="1:3" x14ac:dyDescent="0.3">
      <c r="A250" s="10">
        <f t="shared" ca="1" si="3"/>
        <v>46083.053269675926</v>
      </c>
      <c r="B250" s="11">
        <f ca="1">DATEDIF(Table2[[#This Row],[Customer_Since]], TODAY(), "Y")</f>
        <v>2</v>
      </c>
      <c r="C250" s="12">
        <f>EOMONTH(Table2[[#This Row],[Date]],0)</f>
        <v>45777</v>
      </c>
    </row>
    <row r="251" spans="1:3" x14ac:dyDescent="0.3">
      <c r="A251" s="13">
        <f t="shared" ca="1" si="3"/>
        <v>46083.053269675926</v>
      </c>
      <c r="B251" s="9">
        <f ca="1">DATEDIF(Table2[[#This Row],[Customer_Since]], TODAY(), "Y")</f>
        <v>3</v>
      </c>
      <c r="C251" s="14">
        <f>EOMONTH(Table2[[#This Row],[Date]],0)</f>
        <v>45777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3C8E-C5F6-416D-9520-0295FBDFB640}">
  <dimension ref="A3:C10"/>
  <sheetViews>
    <sheetView topLeftCell="A2" workbookViewId="0">
      <selection activeCell="H17" sqref="H17"/>
    </sheetView>
  </sheetViews>
  <sheetFormatPr defaultRowHeight="14.4" x14ac:dyDescent="0.3"/>
  <cols>
    <col min="1" max="1" width="17.21875" bestFit="1" customWidth="1"/>
    <col min="2" max="2" width="13.88671875" bestFit="1" customWidth="1"/>
    <col min="3" max="3" width="16.44140625" bestFit="1" customWidth="1"/>
  </cols>
  <sheetData>
    <row r="3" spans="1:3" ht="18" x14ac:dyDescent="0.35">
      <c r="A3" s="39" t="s">
        <v>435</v>
      </c>
    </row>
    <row r="5" spans="1:3" x14ac:dyDescent="0.3">
      <c r="A5" t="s">
        <v>434</v>
      </c>
      <c r="B5">
        <f>SUM('[1]Final Project Dataset'!N:N)</f>
        <v>229192.47000000032</v>
      </c>
    </row>
    <row r="7" spans="1:3" x14ac:dyDescent="0.3">
      <c r="A7" s="38" t="s">
        <v>433</v>
      </c>
      <c r="B7" s="38" t="s">
        <v>432</v>
      </c>
      <c r="C7" s="38" t="s">
        <v>431</v>
      </c>
    </row>
    <row r="8" spans="1:3" x14ac:dyDescent="0.3">
      <c r="A8" t="s">
        <v>430</v>
      </c>
      <c r="B8">
        <v>0.1</v>
      </c>
      <c r="C8">
        <f>B5*(1+B8)</f>
        <v>252111.71700000038</v>
      </c>
    </row>
    <row r="9" spans="1:3" x14ac:dyDescent="0.3">
      <c r="A9" t="s">
        <v>429</v>
      </c>
      <c r="B9">
        <v>0</v>
      </c>
      <c r="C9">
        <f>B5*(1+B9)</f>
        <v>229192.47000000032</v>
      </c>
    </row>
    <row r="10" spans="1:3" x14ac:dyDescent="0.3">
      <c r="A10" t="s">
        <v>428</v>
      </c>
      <c r="B10">
        <v>-0.1</v>
      </c>
      <c r="C10">
        <f>B5*(1+B10)</f>
        <v>206273.22300000029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B250F-E6E9-4F1F-847F-8C7F0BEB0FFB}">
  <dimension ref="A1:D251"/>
  <sheetViews>
    <sheetView workbookViewId="0">
      <selection activeCell="D2" sqref="D2"/>
    </sheetView>
  </sheetViews>
  <sheetFormatPr defaultRowHeight="14.4" x14ac:dyDescent="0.3"/>
  <cols>
    <col min="1" max="1" width="16.33203125" customWidth="1"/>
    <col min="2" max="2" width="15.33203125" customWidth="1"/>
    <col min="4" max="4" width="10.44140625" customWidth="1"/>
  </cols>
  <sheetData>
    <row r="1" spans="1:4" x14ac:dyDescent="0.3">
      <c r="A1" s="4" t="s">
        <v>7</v>
      </c>
      <c r="B1" s="20" t="s">
        <v>406</v>
      </c>
      <c r="D1" s="21" t="s">
        <v>407</v>
      </c>
    </row>
    <row r="2" spans="1:4" x14ac:dyDescent="0.3">
      <c r="A2" s="5" t="s">
        <v>20</v>
      </c>
      <c r="B2">
        <f>SUMIF(Table2[Product_Name],Table2[[#This Row],[Product_Name]],dataset!H:H)</f>
        <v>86</v>
      </c>
      <c r="D2">
        <f>COUNTIF(Table2[Product_Name],Table2[[#This Row],[Product_Name]])</f>
        <v>26</v>
      </c>
    </row>
    <row r="3" spans="1:4" x14ac:dyDescent="0.3">
      <c r="A3" s="5" t="s">
        <v>20</v>
      </c>
      <c r="B3">
        <f>SUMIF(Table2[Product_Name],Table2[[#This Row],[Product_Name]],dataset!H:H)</f>
        <v>86</v>
      </c>
      <c r="D3">
        <f>COUNTIF(Table2[Product_Name],Table2[[#This Row],[Product_Name]])</f>
        <v>26</v>
      </c>
    </row>
    <row r="4" spans="1:4" x14ac:dyDescent="0.3">
      <c r="A4" s="5" t="s">
        <v>34</v>
      </c>
      <c r="B4">
        <f>SUMIF(Table2[Product_Name],Table2[[#This Row],[Product_Name]],dataset!H:H)</f>
        <v>98</v>
      </c>
      <c r="D4">
        <f>COUNTIF(Table2[Product_Name],Table2[[#This Row],[Product_Name]])</f>
        <v>29</v>
      </c>
    </row>
    <row r="5" spans="1:4" x14ac:dyDescent="0.3">
      <c r="A5" s="5" t="s">
        <v>34</v>
      </c>
      <c r="B5">
        <f>SUMIF(Table2[Product_Name],Table2[[#This Row],[Product_Name]],dataset!H:H)</f>
        <v>98</v>
      </c>
      <c r="D5">
        <f>COUNTIF(Table2[Product_Name],Table2[[#This Row],[Product_Name]])</f>
        <v>29</v>
      </c>
    </row>
    <row r="6" spans="1:4" x14ac:dyDescent="0.3">
      <c r="A6" s="5" t="s">
        <v>47</v>
      </c>
      <c r="B6">
        <f>SUMIF(Table2[Product_Name],Table2[[#This Row],[Product_Name]],dataset!H:H)</f>
        <v>108</v>
      </c>
      <c r="D6">
        <f>COUNTIF(Table2[Product_Name],Table2[[#This Row],[Product_Name]])</f>
        <v>35</v>
      </c>
    </row>
    <row r="7" spans="1:4" x14ac:dyDescent="0.3">
      <c r="A7" s="5" t="s">
        <v>34</v>
      </c>
      <c r="B7">
        <f>SUMIF(Table2[Product_Name],Table2[[#This Row],[Product_Name]],dataset!H:H)</f>
        <v>98</v>
      </c>
      <c r="D7">
        <f>COUNTIF(Table2[Product_Name],Table2[[#This Row],[Product_Name]])</f>
        <v>29</v>
      </c>
    </row>
    <row r="8" spans="1:4" x14ac:dyDescent="0.3">
      <c r="A8" s="5" t="s">
        <v>55</v>
      </c>
      <c r="B8">
        <f>SUMIF(Table2[Product_Name],Table2[[#This Row],[Product_Name]],dataset!H:H)</f>
        <v>48</v>
      </c>
      <c r="D8">
        <f>COUNTIF(Table2[Product_Name],Table2[[#This Row],[Product_Name]])</f>
        <v>16</v>
      </c>
    </row>
    <row r="9" spans="1:4" x14ac:dyDescent="0.3">
      <c r="A9" s="5" t="s">
        <v>34</v>
      </c>
      <c r="B9">
        <f>SUMIF(Table2[Product_Name],Table2[[#This Row],[Product_Name]],dataset!H:H)</f>
        <v>98</v>
      </c>
      <c r="D9">
        <f>COUNTIF(Table2[Product_Name],Table2[[#This Row],[Product_Name]])</f>
        <v>29</v>
      </c>
    </row>
    <row r="10" spans="1:4" x14ac:dyDescent="0.3">
      <c r="A10" s="5" t="s">
        <v>64</v>
      </c>
      <c r="B10">
        <f>SUMIF(Table2[Product_Name],Table2[[#This Row],[Product_Name]],dataset!H:H)</f>
        <v>67</v>
      </c>
      <c r="D10">
        <f>COUNTIF(Table2[Product_Name],Table2[[#This Row],[Product_Name]])</f>
        <v>24</v>
      </c>
    </row>
    <row r="11" spans="1:4" x14ac:dyDescent="0.3">
      <c r="A11" s="5" t="s">
        <v>34</v>
      </c>
      <c r="B11">
        <f>SUMIF(Table2[Product_Name],Table2[[#This Row],[Product_Name]],dataset!H:H)</f>
        <v>98</v>
      </c>
      <c r="D11">
        <f>COUNTIF(Table2[Product_Name],Table2[[#This Row],[Product_Name]])</f>
        <v>29</v>
      </c>
    </row>
    <row r="12" spans="1:4" x14ac:dyDescent="0.3">
      <c r="A12" s="5" t="s">
        <v>47</v>
      </c>
      <c r="B12">
        <f>SUMIF(Table2[Product_Name],Table2[[#This Row],[Product_Name]],dataset!H:H)</f>
        <v>108</v>
      </c>
      <c r="D12">
        <f>COUNTIF(Table2[Product_Name],Table2[[#This Row],[Product_Name]])</f>
        <v>35</v>
      </c>
    </row>
    <row r="13" spans="1:4" x14ac:dyDescent="0.3">
      <c r="A13" s="5" t="s">
        <v>47</v>
      </c>
      <c r="B13">
        <f>SUMIF(Table2[Product_Name],Table2[[#This Row],[Product_Name]],dataset!H:H)</f>
        <v>108</v>
      </c>
      <c r="D13">
        <f>COUNTIF(Table2[Product_Name],Table2[[#This Row],[Product_Name]])</f>
        <v>35</v>
      </c>
    </row>
    <row r="14" spans="1:4" x14ac:dyDescent="0.3">
      <c r="A14" s="5" t="s">
        <v>47</v>
      </c>
      <c r="B14">
        <f>SUMIF(Table2[Product_Name],Table2[[#This Row],[Product_Name]],dataset!H:H)</f>
        <v>108</v>
      </c>
      <c r="D14">
        <f>COUNTIF(Table2[Product_Name],Table2[[#This Row],[Product_Name]])</f>
        <v>35</v>
      </c>
    </row>
    <row r="15" spans="1:4" x14ac:dyDescent="0.3">
      <c r="A15" s="5" t="s">
        <v>34</v>
      </c>
      <c r="B15">
        <f>SUMIF(Table2[Product_Name],Table2[[#This Row],[Product_Name]],dataset!H:H)</f>
        <v>98</v>
      </c>
      <c r="D15">
        <f>COUNTIF(Table2[Product_Name],Table2[[#This Row],[Product_Name]])</f>
        <v>29</v>
      </c>
    </row>
    <row r="16" spans="1:4" x14ac:dyDescent="0.3">
      <c r="A16" s="5" t="s">
        <v>83</v>
      </c>
      <c r="B16">
        <f>SUMIF(Table2[Product_Name],Table2[[#This Row],[Product_Name]],dataset!H:H)</f>
        <v>84</v>
      </c>
      <c r="D16">
        <f>COUNTIF(Table2[Product_Name],Table2[[#This Row],[Product_Name]])</f>
        <v>31</v>
      </c>
    </row>
    <row r="17" spans="1:4" x14ac:dyDescent="0.3">
      <c r="A17" s="5" t="s">
        <v>64</v>
      </c>
      <c r="B17">
        <f>SUMIF(Table2[Product_Name],Table2[[#This Row],[Product_Name]],dataset!H:H)</f>
        <v>67</v>
      </c>
      <c r="D17">
        <f>COUNTIF(Table2[Product_Name],Table2[[#This Row],[Product_Name]])</f>
        <v>24</v>
      </c>
    </row>
    <row r="18" spans="1:4" x14ac:dyDescent="0.3">
      <c r="A18" s="5" t="s">
        <v>47</v>
      </c>
      <c r="B18">
        <f>SUMIF(Table2[Product_Name],Table2[[#This Row],[Product_Name]],dataset!H:H)</f>
        <v>108</v>
      </c>
      <c r="D18">
        <f>COUNTIF(Table2[Product_Name],Table2[[#This Row],[Product_Name]])</f>
        <v>35</v>
      </c>
    </row>
    <row r="19" spans="1:4" x14ac:dyDescent="0.3">
      <c r="A19" s="5" t="s">
        <v>83</v>
      </c>
      <c r="B19">
        <f>SUMIF(Table2[Product_Name],Table2[[#This Row],[Product_Name]],dataset!H:H)</f>
        <v>84</v>
      </c>
      <c r="D19">
        <f>COUNTIF(Table2[Product_Name],Table2[[#This Row],[Product_Name]])</f>
        <v>31</v>
      </c>
    </row>
    <row r="20" spans="1:4" x14ac:dyDescent="0.3">
      <c r="A20" s="5" t="s">
        <v>64</v>
      </c>
      <c r="B20">
        <f>SUMIF(Table2[Product_Name],Table2[[#This Row],[Product_Name]],dataset!H:H)</f>
        <v>67</v>
      </c>
      <c r="D20">
        <f>COUNTIF(Table2[Product_Name],Table2[[#This Row],[Product_Name]])</f>
        <v>24</v>
      </c>
    </row>
    <row r="21" spans="1:4" x14ac:dyDescent="0.3">
      <c r="A21" s="5" t="s">
        <v>20</v>
      </c>
      <c r="B21">
        <f>SUMIF(Table2[Product_Name],Table2[[#This Row],[Product_Name]],dataset!H:H)</f>
        <v>86</v>
      </c>
      <c r="D21">
        <f>COUNTIF(Table2[Product_Name],Table2[[#This Row],[Product_Name]])</f>
        <v>26</v>
      </c>
    </row>
    <row r="22" spans="1:4" x14ac:dyDescent="0.3">
      <c r="A22" s="5" t="s">
        <v>83</v>
      </c>
      <c r="B22">
        <f>SUMIF(Table2[Product_Name],Table2[[#This Row],[Product_Name]],dataset!H:H)</f>
        <v>84</v>
      </c>
      <c r="D22">
        <f>COUNTIF(Table2[Product_Name],Table2[[#This Row],[Product_Name]])</f>
        <v>31</v>
      </c>
    </row>
    <row r="23" spans="1:4" x14ac:dyDescent="0.3">
      <c r="A23" s="5" t="s">
        <v>83</v>
      </c>
      <c r="B23">
        <f>SUMIF(Table2[Product_Name],Table2[[#This Row],[Product_Name]],dataset!H:H)</f>
        <v>84</v>
      </c>
      <c r="D23">
        <f>COUNTIF(Table2[Product_Name],Table2[[#This Row],[Product_Name]])</f>
        <v>31</v>
      </c>
    </row>
    <row r="24" spans="1:4" x14ac:dyDescent="0.3">
      <c r="A24" s="5" t="s">
        <v>20</v>
      </c>
      <c r="B24">
        <f>SUMIF(Table2[Product_Name],Table2[[#This Row],[Product_Name]],dataset!H:H)</f>
        <v>86</v>
      </c>
      <c r="D24">
        <f>COUNTIF(Table2[Product_Name],Table2[[#This Row],[Product_Name]])</f>
        <v>26</v>
      </c>
    </row>
    <row r="25" spans="1:4" x14ac:dyDescent="0.3">
      <c r="A25" s="5" t="s">
        <v>108</v>
      </c>
      <c r="B25">
        <f>SUMIF(Table2[Product_Name],Table2[[#This Row],[Product_Name]],dataset!H:H)</f>
        <v>67</v>
      </c>
      <c r="D25">
        <f>COUNTIF(Table2[Product_Name],Table2[[#This Row],[Product_Name]])</f>
        <v>26</v>
      </c>
    </row>
    <row r="26" spans="1:4" x14ac:dyDescent="0.3">
      <c r="A26" s="5" t="s">
        <v>20</v>
      </c>
      <c r="B26">
        <f>SUMIF(Table2[Product_Name],Table2[[#This Row],[Product_Name]],dataset!H:H)</f>
        <v>86</v>
      </c>
      <c r="D26">
        <f>COUNTIF(Table2[Product_Name],Table2[[#This Row],[Product_Name]])</f>
        <v>26</v>
      </c>
    </row>
    <row r="27" spans="1:4" x14ac:dyDescent="0.3">
      <c r="A27" s="5" t="s">
        <v>108</v>
      </c>
      <c r="B27">
        <f>SUMIF(Table2[Product_Name],Table2[[#This Row],[Product_Name]],dataset!H:H)</f>
        <v>67</v>
      </c>
      <c r="D27">
        <f>COUNTIF(Table2[Product_Name],Table2[[#This Row],[Product_Name]])</f>
        <v>26</v>
      </c>
    </row>
    <row r="28" spans="1:4" x14ac:dyDescent="0.3">
      <c r="A28" s="5" t="s">
        <v>117</v>
      </c>
      <c r="B28">
        <f>SUMIF(Table2[Product_Name],Table2[[#This Row],[Product_Name]],dataset!H:H)</f>
        <v>50</v>
      </c>
      <c r="D28">
        <f>COUNTIF(Table2[Product_Name],Table2[[#This Row],[Product_Name]])</f>
        <v>14</v>
      </c>
    </row>
    <row r="29" spans="1:4" x14ac:dyDescent="0.3">
      <c r="A29" s="5" t="s">
        <v>120</v>
      </c>
      <c r="B29">
        <f>SUMIF(Table2[Product_Name],Table2[[#This Row],[Product_Name]],dataset!H:H)</f>
        <v>99</v>
      </c>
      <c r="D29">
        <f>COUNTIF(Table2[Product_Name],Table2[[#This Row],[Product_Name]])</f>
        <v>34</v>
      </c>
    </row>
    <row r="30" spans="1:4" x14ac:dyDescent="0.3">
      <c r="A30" s="5" t="s">
        <v>34</v>
      </c>
      <c r="B30">
        <f>SUMIF(Table2[Product_Name],Table2[[#This Row],[Product_Name]],dataset!H:H)</f>
        <v>98</v>
      </c>
      <c r="D30">
        <f>COUNTIF(Table2[Product_Name],Table2[[#This Row],[Product_Name]])</f>
        <v>29</v>
      </c>
    </row>
    <row r="31" spans="1:4" x14ac:dyDescent="0.3">
      <c r="A31" s="5" t="s">
        <v>34</v>
      </c>
      <c r="B31">
        <f>SUMIF(Table2[Product_Name],Table2[[#This Row],[Product_Name]],dataset!H:H)</f>
        <v>98</v>
      </c>
      <c r="D31">
        <f>COUNTIF(Table2[Product_Name],Table2[[#This Row],[Product_Name]])</f>
        <v>29</v>
      </c>
    </row>
    <row r="32" spans="1:4" x14ac:dyDescent="0.3">
      <c r="A32" s="5" t="s">
        <v>129</v>
      </c>
      <c r="B32">
        <f>SUMIF(Table2[Product_Name],Table2[[#This Row],[Product_Name]],dataset!H:H)</f>
        <v>43</v>
      </c>
      <c r="D32">
        <f>COUNTIF(Table2[Product_Name],Table2[[#This Row],[Product_Name]])</f>
        <v>15</v>
      </c>
    </row>
    <row r="33" spans="1:4" x14ac:dyDescent="0.3">
      <c r="A33" s="5" t="s">
        <v>47</v>
      </c>
      <c r="B33">
        <f>SUMIF(Table2[Product_Name],Table2[[#This Row],[Product_Name]],dataset!H:H)</f>
        <v>108</v>
      </c>
      <c r="D33">
        <f>COUNTIF(Table2[Product_Name],Table2[[#This Row],[Product_Name]])</f>
        <v>35</v>
      </c>
    </row>
    <row r="34" spans="1:4" x14ac:dyDescent="0.3">
      <c r="A34" s="5" t="s">
        <v>47</v>
      </c>
      <c r="B34">
        <f>SUMIF(Table2[Product_Name],Table2[[#This Row],[Product_Name]],dataset!H:H)</f>
        <v>108</v>
      </c>
      <c r="D34">
        <f>COUNTIF(Table2[Product_Name],Table2[[#This Row],[Product_Name]])</f>
        <v>35</v>
      </c>
    </row>
    <row r="35" spans="1:4" x14ac:dyDescent="0.3">
      <c r="A35" s="5" t="s">
        <v>64</v>
      </c>
      <c r="B35">
        <f>SUMIF(Table2[Product_Name],Table2[[#This Row],[Product_Name]],dataset!H:H)</f>
        <v>67</v>
      </c>
      <c r="D35">
        <f>COUNTIF(Table2[Product_Name],Table2[[#This Row],[Product_Name]])</f>
        <v>24</v>
      </c>
    </row>
    <row r="36" spans="1:4" x14ac:dyDescent="0.3">
      <c r="A36" s="5" t="s">
        <v>108</v>
      </c>
      <c r="B36">
        <f>SUMIF(Table2[Product_Name],Table2[[#This Row],[Product_Name]],dataset!H:H)</f>
        <v>67</v>
      </c>
      <c r="D36">
        <f>COUNTIF(Table2[Product_Name],Table2[[#This Row],[Product_Name]])</f>
        <v>26</v>
      </c>
    </row>
    <row r="37" spans="1:4" x14ac:dyDescent="0.3">
      <c r="A37" s="5" t="s">
        <v>117</v>
      </c>
      <c r="B37">
        <f>SUMIF(Table2[Product_Name],Table2[[#This Row],[Product_Name]],dataset!H:H)</f>
        <v>50</v>
      </c>
      <c r="D37">
        <f>COUNTIF(Table2[Product_Name],Table2[[#This Row],[Product_Name]])</f>
        <v>14</v>
      </c>
    </row>
    <row r="38" spans="1:4" x14ac:dyDescent="0.3">
      <c r="A38" s="5" t="s">
        <v>129</v>
      </c>
      <c r="B38">
        <f>SUMIF(Table2[Product_Name],Table2[[#This Row],[Product_Name]],dataset!H:H)</f>
        <v>43</v>
      </c>
      <c r="D38">
        <f>COUNTIF(Table2[Product_Name],Table2[[#This Row],[Product_Name]])</f>
        <v>15</v>
      </c>
    </row>
    <row r="39" spans="1:4" x14ac:dyDescent="0.3">
      <c r="A39" s="5" t="s">
        <v>83</v>
      </c>
      <c r="B39">
        <f>SUMIF(Table2[Product_Name],Table2[[#This Row],[Product_Name]],dataset!H:H)</f>
        <v>84</v>
      </c>
      <c r="D39">
        <f>COUNTIF(Table2[Product_Name],Table2[[#This Row],[Product_Name]])</f>
        <v>31</v>
      </c>
    </row>
    <row r="40" spans="1:4" x14ac:dyDescent="0.3">
      <c r="A40" s="5" t="s">
        <v>120</v>
      </c>
      <c r="B40">
        <f>SUMIF(Table2[Product_Name],Table2[[#This Row],[Product_Name]],dataset!H:H)</f>
        <v>99</v>
      </c>
      <c r="D40">
        <f>COUNTIF(Table2[Product_Name],Table2[[#This Row],[Product_Name]])</f>
        <v>34</v>
      </c>
    </row>
    <row r="41" spans="1:4" x14ac:dyDescent="0.3">
      <c r="A41" s="5" t="s">
        <v>117</v>
      </c>
      <c r="B41">
        <f>SUMIF(Table2[Product_Name],Table2[[#This Row],[Product_Name]],dataset!H:H)</f>
        <v>50</v>
      </c>
      <c r="D41">
        <f>COUNTIF(Table2[Product_Name],Table2[[#This Row],[Product_Name]])</f>
        <v>14</v>
      </c>
    </row>
    <row r="42" spans="1:4" x14ac:dyDescent="0.3">
      <c r="A42" s="5" t="s">
        <v>34</v>
      </c>
      <c r="B42">
        <f>SUMIF(Table2[Product_Name],Table2[[#This Row],[Product_Name]],dataset!H:H)</f>
        <v>98</v>
      </c>
      <c r="D42">
        <f>COUNTIF(Table2[Product_Name],Table2[[#This Row],[Product_Name]])</f>
        <v>29</v>
      </c>
    </row>
    <row r="43" spans="1:4" x14ac:dyDescent="0.3">
      <c r="A43" s="5" t="s">
        <v>120</v>
      </c>
      <c r="B43">
        <f>SUMIF(Table2[Product_Name],Table2[[#This Row],[Product_Name]],dataset!H:H)</f>
        <v>99</v>
      </c>
      <c r="D43">
        <f>COUNTIF(Table2[Product_Name],Table2[[#This Row],[Product_Name]])</f>
        <v>34</v>
      </c>
    </row>
    <row r="44" spans="1:4" x14ac:dyDescent="0.3">
      <c r="A44" s="5" t="s">
        <v>120</v>
      </c>
      <c r="B44">
        <f>SUMIF(Table2[Product_Name],Table2[[#This Row],[Product_Name]],dataset!H:H)</f>
        <v>99</v>
      </c>
      <c r="D44">
        <f>COUNTIF(Table2[Product_Name],Table2[[#This Row],[Product_Name]])</f>
        <v>34</v>
      </c>
    </row>
    <row r="45" spans="1:4" x14ac:dyDescent="0.3">
      <c r="A45" s="5" t="s">
        <v>20</v>
      </c>
      <c r="B45">
        <f>SUMIF(Table2[Product_Name],Table2[[#This Row],[Product_Name]],dataset!H:H)</f>
        <v>86</v>
      </c>
      <c r="D45">
        <f>COUNTIF(Table2[Product_Name],Table2[[#This Row],[Product_Name]])</f>
        <v>26</v>
      </c>
    </row>
    <row r="46" spans="1:4" x14ac:dyDescent="0.3">
      <c r="A46" s="5" t="s">
        <v>120</v>
      </c>
      <c r="B46">
        <f>SUMIF(Table2[Product_Name],Table2[[#This Row],[Product_Name]],dataset!H:H)</f>
        <v>99</v>
      </c>
      <c r="D46">
        <f>COUNTIF(Table2[Product_Name],Table2[[#This Row],[Product_Name]])</f>
        <v>34</v>
      </c>
    </row>
    <row r="47" spans="1:4" x14ac:dyDescent="0.3">
      <c r="A47" s="5" t="s">
        <v>47</v>
      </c>
      <c r="B47">
        <f>SUMIF(Table2[Product_Name],Table2[[#This Row],[Product_Name]],dataset!H:H)</f>
        <v>108</v>
      </c>
      <c r="D47">
        <f>COUNTIF(Table2[Product_Name],Table2[[#This Row],[Product_Name]])</f>
        <v>35</v>
      </c>
    </row>
    <row r="48" spans="1:4" x14ac:dyDescent="0.3">
      <c r="A48" s="5" t="s">
        <v>34</v>
      </c>
      <c r="B48">
        <f>SUMIF(Table2[Product_Name],Table2[[#This Row],[Product_Name]],dataset!H:H)</f>
        <v>98</v>
      </c>
      <c r="D48">
        <f>COUNTIF(Table2[Product_Name],Table2[[#This Row],[Product_Name]])</f>
        <v>29</v>
      </c>
    </row>
    <row r="49" spans="1:4" x14ac:dyDescent="0.3">
      <c r="A49" s="5" t="s">
        <v>120</v>
      </c>
      <c r="B49">
        <f>SUMIF(Table2[Product_Name],Table2[[#This Row],[Product_Name]],dataset!H:H)</f>
        <v>99</v>
      </c>
      <c r="D49">
        <f>COUNTIF(Table2[Product_Name],Table2[[#This Row],[Product_Name]])</f>
        <v>34</v>
      </c>
    </row>
    <row r="50" spans="1:4" x14ac:dyDescent="0.3">
      <c r="A50" s="5" t="s">
        <v>120</v>
      </c>
      <c r="B50">
        <f>SUMIF(Table2[Product_Name],Table2[[#This Row],[Product_Name]],dataset!H:H)</f>
        <v>99</v>
      </c>
      <c r="D50">
        <f>COUNTIF(Table2[Product_Name],Table2[[#This Row],[Product_Name]])</f>
        <v>34</v>
      </c>
    </row>
    <row r="51" spans="1:4" x14ac:dyDescent="0.3">
      <c r="A51" s="5" t="s">
        <v>64</v>
      </c>
      <c r="B51">
        <f>SUMIF(Table2[Product_Name],Table2[[#This Row],[Product_Name]],dataset!H:H)</f>
        <v>67</v>
      </c>
      <c r="D51">
        <f>COUNTIF(Table2[Product_Name],Table2[[#This Row],[Product_Name]])</f>
        <v>24</v>
      </c>
    </row>
    <row r="52" spans="1:4" x14ac:dyDescent="0.3">
      <c r="A52" s="5" t="s">
        <v>64</v>
      </c>
      <c r="B52">
        <f>SUMIF(Table2[Product_Name],Table2[[#This Row],[Product_Name]],dataset!H:H)</f>
        <v>67</v>
      </c>
      <c r="D52">
        <f>COUNTIF(Table2[Product_Name],Table2[[#This Row],[Product_Name]])</f>
        <v>24</v>
      </c>
    </row>
    <row r="53" spans="1:4" x14ac:dyDescent="0.3">
      <c r="A53" s="5" t="s">
        <v>34</v>
      </c>
      <c r="B53">
        <f>SUMIF(Table2[Product_Name],Table2[[#This Row],[Product_Name]],dataset!H:H)</f>
        <v>98</v>
      </c>
      <c r="D53">
        <f>COUNTIF(Table2[Product_Name],Table2[[#This Row],[Product_Name]])</f>
        <v>29</v>
      </c>
    </row>
    <row r="54" spans="1:4" x14ac:dyDescent="0.3">
      <c r="A54" s="5" t="s">
        <v>108</v>
      </c>
      <c r="B54">
        <f>SUMIF(Table2[Product_Name],Table2[[#This Row],[Product_Name]],dataset!H:H)</f>
        <v>67</v>
      </c>
      <c r="D54">
        <f>COUNTIF(Table2[Product_Name],Table2[[#This Row],[Product_Name]])</f>
        <v>26</v>
      </c>
    </row>
    <row r="55" spans="1:4" x14ac:dyDescent="0.3">
      <c r="A55" s="5" t="s">
        <v>120</v>
      </c>
      <c r="B55">
        <f>SUMIF(Table2[Product_Name],Table2[[#This Row],[Product_Name]],dataset!H:H)</f>
        <v>99</v>
      </c>
      <c r="D55">
        <f>COUNTIF(Table2[Product_Name],Table2[[#This Row],[Product_Name]])</f>
        <v>34</v>
      </c>
    </row>
    <row r="56" spans="1:4" x14ac:dyDescent="0.3">
      <c r="A56" s="5" t="s">
        <v>117</v>
      </c>
      <c r="B56">
        <f>SUMIF(Table2[Product_Name],Table2[[#This Row],[Product_Name]],dataset!H:H)</f>
        <v>50</v>
      </c>
      <c r="D56">
        <f>COUNTIF(Table2[Product_Name],Table2[[#This Row],[Product_Name]])</f>
        <v>14</v>
      </c>
    </row>
    <row r="57" spans="1:4" x14ac:dyDescent="0.3">
      <c r="A57" s="5" t="s">
        <v>120</v>
      </c>
      <c r="B57">
        <f>SUMIF(Table2[Product_Name],Table2[[#This Row],[Product_Name]],dataset!H:H)</f>
        <v>99</v>
      </c>
      <c r="D57">
        <f>COUNTIF(Table2[Product_Name],Table2[[#This Row],[Product_Name]])</f>
        <v>34</v>
      </c>
    </row>
    <row r="58" spans="1:4" x14ac:dyDescent="0.3">
      <c r="A58" s="5" t="s">
        <v>83</v>
      </c>
      <c r="B58">
        <f>SUMIF(Table2[Product_Name],Table2[[#This Row],[Product_Name]],dataset!H:H)</f>
        <v>84</v>
      </c>
      <c r="D58">
        <f>COUNTIF(Table2[Product_Name],Table2[[#This Row],[Product_Name]])</f>
        <v>31</v>
      </c>
    </row>
    <row r="59" spans="1:4" x14ac:dyDescent="0.3">
      <c r="A59" s="5" t="s">
        <v>64</v>
      </c>
      <c r="B59">
        <f>SUMIF(Table2[Product_Name],Table2[[#This Row],[Product_Name]],dataset!H:H)</f>
        <v>67</v>
      </c>
      <c r="D59">
        <f>COUNTIF(Table2[Product_Name],Table2[[#This Row],[Product_Name]])</f>
        <v>24</v>
      </c>
    </row>
    <row r="60" spans="1:4" x14ac:dyDescent="0.3">
      <c r="A60" s="5" t="s">
        <v>47</v>
      </c>
      <c r="B60">
        <f>SUMIF(Table2[Product_Name],Table2[[#This Row],[Product_Name]],dataset!H:H)</f>
        <v>108</v>
      </c>
      <c r="D60">
        <f>COUNTIF(Table2[Product_Name],Table2[[#This Row],[Product_Name]])</f>
        <v>35</v>
      </c>
    </row>
    <row r="61" spans="1:4" x14ac:dyDescent="0.3">
      <c r="A61" s="5" t="s">
        <v>120</v>
      </c>
      <c r="B61">
        <f>SUMIF(Table2[Product_Name],Table2[[#This Row],[Product_Name]],dataset!H:H)</f>
        <v>99</v>
      </c>
      <c r="D61">
        <f>COUNTIF(Table2[Product_Name],Table2[[#This Row],[Product_Name]])</f>
        <v>34</v>
      </c>
    </row>
    <row r="62" spans="1:4" x14ac:dyDescent="0.3">
      <c r="A62" s="5" t="s">
        <v>120</v>
      </c>
      <c r="B62">
        <f>SUMIF(Table2[Product_Name],Table2[[#This Row],[Product_Name]],dataset!H:H)</f>
        <v>99</v>
      </c>
      <c r="D62">
        <f>COUNTIF(Table2[Product_Name],Table2[[#This Row],[Product_Name]])</f>
        <v>34</v>
      </c>
    </row>
    <row r="63" spans="1:4" x14ac:dyDescent="0.3">
      <c r="A63" s="5" t="s">
        <v>120</v>
      </c>
      <c r="B63">
        <f>SUMIF(Table2[Product_Name],Table2[[#This Row],[Product_Name]],dataset!H:H)</f>
        <v>99</v>
      </c>
      <c r="D63">
        <f>COUNTIF(Table2[Product_Name],Table2[[#This Row],[Product_Name]])</f>
        <v>34</v>
      </c>
    </row>
    <row r="64" spans="1:4" x14ac:dyDescent="0.3">
      <c r="A64" s="5" t="s">
        <v>117</v>
      </c>
      <c r="B64">
        <f>SUMIF(Table2[Product_Name],Table2[[#This Row],[Product_Name]],dataset!H:H)</f>
        <v>50</v>
      </c>
      <c r="D64">
        <f>COUNTIF(Table2[Product_Name],Table2[[#This Row],[Product_Name]])</f>
        <v>14</v>
      </c>
    </row>
    <row r="65" spans="1:4" x14ac:dyDescent="0.3">
      <c r="A65" s="5" t="s">
        <v>47</v>
      </c>
      <c r="B65">
        <f>SUMIF(Table2[Product_Name],Table2[[#This Row],[Product_Name]],dataset!H:H)</f>
        <v>108</v>
      </c>
      <c r="D65">
        <f>COUNTIF(Table2[Product_Name],Table2[[#This Row],[Product_Name]])</f>
        <v>35</v>
      </c>
    </row>
    <row r="66" spans="1:4" x14ac:dyDescent="0.3">
      <c r="A66" s="5" t="s">
        <v>83</v>
      </c>
      <c r="B66">
        <f>SUMIF(Table2[Product_Name],Table2[[#This Row],[Product_Name]],dataset!H:H)</f>
        <v>84</v>
      </c>
      <c r="D66">
        <f>COUNTIF(Table2[Product_Name],Table2[[#This Row],[Product_Name]])</f>
        <v>31</v>
      </c>
    </row>
    <row r="67" spans="1:4" x14ac:dyDescent="0.3">
      <c r="A67" s="5" t="s">
        <v>120</v>
      </c>
      <c r="B67">
        <f>SUMIF(Table2[Product_Name],Table2[[#This Row],[Product_Name]],dataset!H:H)</f>
        <v>99</v>
      </c>
      <c r="D67">
        <f>COUNTIF(Table2[Product_Name],Table2[[#This Row],[Product_Name]])</f>
        <v>34</v>
      </c>
    </row>
    <row r="68" spans="1:4" x14ac:dyDescent="0.3">
      <c r="A68" s="5" t="s">
        <v>34</v>
      </c>
      <c r="B68">
        <f>SUMIF(Table2[Product_Name],Table2[[#This Row],[Product_Name]],dataset!H:H)</f>
        <v>98</v>
      </c>
      <c r="D68">
        <f>COUNTIF(Table2[Product_Name],Table2[[#This Row],[Product_Name]])</f>
        <v>29</v>
      </c>
    </row>
    <row r="69" spans="1:4" x14ac:dyDescent="0.3">
      <c r="A69" s="5" t="s">
        <v>55</v>
      </c>
      <c r="B69">
        <f>SUMIF(Table2[Product_Name],Table2[[#This Row],[Product_Name]],dataset!H:H)</f>
        <v>48</v>
      </c>
      <c r="D69">
        <f>COUNTIF(Table2[Product_Name],Table2[[#This Row],[Product_Name]])</f>
        <v>16</v>
      </c>
    </row>
    <row r="70" spans="1:4" x14ac:dyDescent="0.3">
      <c r="A70" s="5" t="s">
        <v>108</v>
      </c>
      <c r="B70">
        <f>SUMIF(Table2[Product_Name],Table2[[#This Row],[Product_Name]],dataset!H:H)</f>
        <v>67</v>
      </c>
      <c r="D70">
        <f>COUNTIF(Table2[Product_Name],Table2[[#This Row],[Product_Name]])</f>
        <v>26</v>
      </c>
    </row>
    <row r="71" spans="1:4" x14ac:dyDescent="0.3">
      <c r="A71" s="5" t="s">
        <v>129</v>
      </c>
      <c r="B71">
        <f>SUMIF(Table2[Product_Name],Table2[[#This Row],[Product_Name]],dataset!H:H)</f>
        <v>43</v>
      </c>
      <c r="D71">
        <f>COUNTIF(Table2[Product_Name],Table2[[#This Row],[Product_Name]])</f>
        <v>15</v>
      </c>
    </row>
    <row r="72" spans="1:4" x14ac:dyDescent="0.3">
      <c r="A72" s="5" t="s">
        <v>34</v>
      </c>
      <c r="B72">
        <f>SUMIF(Table2[Product_Name],Table2[[#This Row],[Product_Name]],dataset!H:H)</f>
        <v>98</v>
      </c>
      <c r="D72">
        <f>COUNTIF(Table2[Product_Name],Table2[[#This Row],[Product_Name]])</f>
        <v>29</v>
      </c>
    </row>
    <row r="73" spans="1:4" x14ac:dyDescent="0.3">
      <c r="A73" s="5" t="s">
        <v>47</v>
      </c>
      <c r="B73">
        <f>SUMIF(Table2[Product_Name],Table2[[#This Row],[Product_Name]],dataset!H:H)</f>
        <v>108</v>
      </c>
      <c r="D73">
        <f>COUNTIF(Table2[Product_Name],Table2[[#This Row],[Product_Name]])</f>
        <v>35</v>
      </c>
    </row>
    <row r="74" spans="1:4" x14ac:dyDescent="0.3">
      <c r="A74" s="5" t="s">
        <v>129</v>
      </c>
      <c r="B74">
        <f>SUMIF(Table2[Product_Name],Table2[[#This Row],[Product_Name]],dataset!H:H)</f>
        <v>43</v>
      </c>
      <c r="D74">
        <f>COUNTIF(Table2[Product_Name],Table2[[#This Row],[Product_Name]])</f>
        <v>15</v>
      </c>
    </row>
    <row r="75" spans="1:4" x14ac:dyDescent="0.3">
      <c r="A75" s="5" t="s">
        <v>64</v>
      </c>
      <c r="B75">
        <f>SUMIF(Table2[Product_Name],Table2[[#This Row],[Product_Name]],dataset!H:H)</f>
        <v>67</v>
      </c>
      <c r="D75">
        <f>COUNTIF(Table2[Product_Name],Table2[[#This Row],[Product_Name]])</f>
        <v>24</v>
      </c>
    </row>
    <row r="76" spans="1:4" x14ac:dyDescent="0.3">
      <c r="A76" s="5" t="s">
        <v>64</v>
      </c>
      <c r="B76">
        <f>SUMIF(Table2[Product_Name],Table2[[#This Row],[Product_Name]],dataset!H:H)</f>
        <v>67</v>
      </c>
      <c r="D76">
        <f>COUNTIF(Table2[Product_Name],Table2[[#This Row],[Product_Name]])</f>
        <v>24</v>
      </c>
    </row>
    <row r="77" spans="1:4" x14ac:dyDescent="0.3">
      <c r="A77" s="5" t="s">
        <v>34</v>
      </c>
      <c r="B77">
        <f>SUMIF(Table2[Product_Name],Table2[[#This Row],[Product_Name]],dataset!H:H)</f>
        <v>98</v>
      </c>
      <c r="D77">
        <f>COUNTIF(Table2[Product_Name],Table2[[#This Row],[Product_Name]])</f>
        <v>29</v>
      </c>
    </row>
    <row r="78" spans="1:4" x14ac:dyDescent="0.3">
      <c r="A78" s="5" t="s">
        <v>20</v>
      </c>
      <c r="B78">
        <f>SUMIF(Table2[Product_Name],Table2[[#This Row],[Product_Name]],dataset!H:H)</f>
        <v>86</v>
      </c>
      <c r="D78">
        <f>COUNTIF(Table2[Product_Name],Table2[[#This Row],[Product_Name]])</f>
        <v>26</v>
      </c>
    </row>
    <row r="79" spans="1:4" x14ac:dyDescent="0.3">
      <c r="A79" s="5" t="s">
        <v>20</v>
      </c>
      <c r="B79">
        <f>SUMIF(Table2[Product_Name],Table2[[#This Row],[Product_Name]],dataset!H:H)</f>
        <v>86</v>
      </c>
      <c r="D79">
        <f>COUNTIF(Table2[Product_Name],Table2[[#This Row],[Product_Name]])</f>
        <v>26</v>
      </c>
    </row>
    <row r="80" spans="1:4" x14ac:dyDescent="0.3">
      <c r="A80" s="5" t="s">
        <v>108</v>
      </c>
      <c r="B80">
        <f>SUMIF(Table2[Product_Name],Table2[[#This Row],[Product_Name]],dataset!H:H)</f>
        <v>67</v>
      </c>
      <c r="D80">
        <f>COUNTIF(Table2[Product_Name],Table2[[#This Row],[Product_Name]])</f>
        <v>26</v>
      </c>
    </row>
    <row r="81" spans="1:4" x14ac:dyDescent="0.3">
      <c r="A81" s="5" t="s">
        <v>120</v>
      </c>
      <c r="B81">
        <f>SUMIF(Table2[Product_Name],Table2[[#This Row],[Product_Name]],dataset!H:H)</f>
        <v>99</v>
      </c>
      <c r="D81">
        <f>COUNTIF(Table2[Product_Name],Table2[[#This Row],[Product_Name]])</f>
        <v>34</v>
      </c>
    </row>
    <row r="82" spans="1:4" x14ac:dyDescent="0.3">
      <c r="A82" s="5" t="s">
        <v>108</v>
      </c>
      <c r="B82">
        <f>SUMIF(Table2[Product_Name],Table2[[#This Row],[Product_Name]],dataset!H:H)</f>
        <v>67</v>
      </c>
      <c r="D82">
        <f>COUNTIF(Table2[Product_Name],Table2[[#This Row],[Product_Name]])</f>
        <v>26</v>
      </c>
    </row>
    <row r="83" spans="1:4" x14ac:dyDescent="0.3">
      <c r="A83" s="5" t="s">
        <v>83</v>
      </c>
      <c r="B83">
        <f>SUMIF(Table2[Product_Name],Table2[[#This Row],[Product_Name]],dataset!H:H)</f>
        <v>84</v>
      </c>
      <c r="D83">
        <f>COUNTIF(Table2[Product_Name],Table2[[#This Row],[Product_Name]])</f>
        <v>31</v>
      </c>
    </row>
    <row r="84" spans="1:4" x14ac:dyDescent="0.3">
      <c r="A84" s="5" t="s">
        <v>64</v>
      </c>
      <c r="B84">
        <f>SUMIF(Table2[Product_Name],Table2[[#This Row],[Product_Name]],dataset!H:H)</f>
        <v>67</v>
      </c>
      <c r="D84">
        <f>COUNTIF(Table2[Product_Name],Table2[[#This Row],[Product_Name]])</f>
        <v>24</v>
      </c>
    </row>
    <row r="85" spans="1:4" x14ac:dyDescent="0.3">
      <c r="A85" s="5" t="s">
        <v>47</v>
      </c>
      <c r="B85">
        <f>SUMIF(Table2[Product_Name],Table2[[#This Row],[Product_Name]],dataset!H:H)</f>
        <v>108</v>
      </c>
      <c r="D85">
        <f>COUNTIF(Table2[Product_Name],Table2[[#This Row],[Product_Name]])</f>
        <v>35</v>
      </c>
    </row>
    <row r="86" spans="1:4" x14ac:dyDescent="0.3">
      <c r="A86" s="5" t="s">
        <v>47</v>
      </c>
      <c r="B86">
        <f>SUMIF(Table2[Product_Name],Table2[[#This Row],[Product_Name]],dataset!H:H)</f>
        <v>108</v>
      </c>
      <c r="D86">
        <f>COUNTIF(Table2[Product_Name],Table2[[#This Row],[Product_Name]])</f>
        <v>35</v>
      </c>
    </row>
    <row r="87" spans="1:4" x14ac:dyDescent="0.3">
      <c r="A87" s="5" t="s">
        <v>120</v>
      </c>
      <c r="B87">
        <f>SUMIF(Table2[Product_Name],Table2[[#This Row],[Product_Name]],dataset!H:H)</f>
        <v>99</v>
      </c>
      <c r="D87">
        <f>COUNTIF(Table2[Product_Name],Table2[[#This Row],[Product_Name]])</f>
        <v>34</v>
      </c>
    </row>
    <row r="88" spans="1:4" x14ac:dyDescent="0.3">
      <c r="A88" s="5" t="s">
        <v>108</v>
      </c>
      <c r="B88">
        <f>SUMIF(Table2[Product_Name],Table2[[#This Row],[Product_Name]],dataset!H:H)</f>
        <v>67</v>
      </c>
      <c r="D88">
        <f>COUNTIF(Table2[Product_Name],Table2[[#This Row],[Product_Name]])</f>
        <v>26</v>
      </c>
    </row>
    <row r="89" spans="1:4" x14ac:dyDescent="0.3">
      <c r="A89" s="5" t="s">
        <v>55</v>
      </c>
      <c r="B89">
        <f>SUMIF(Table2[Product_Name],Table2[[#This Row],[Product_Name]],dataset!H:H)</f>
        <v>48</v>
      </c>
      <c r="D89">
        <f>COUNTIF(Table2[Product_Name],Table2[[#This Row],[Product_Name]])</f>
        <v>16</v>
      </c>
    </row>
    <row r="90" spans="1:4" x14ac:dyDescent="0.3">
      <c r="A90" s="5" t="s">
        <v>20</v>
      </c>
      <c r="B90">
        <f>SUMIF(Table2[Product_Name],Table2[[#This Row],[Product_Name]],dataset!H:H)</f>
        <v>86</v>
      </c>
      <c r="D90">
        <f>COUNTIF(Table2[Product_Name],Table2[[#This Row],[Product_Name]])</f>
        <v>26</v>
      </c>
    </row>
    <row r="91" spans="1:4" x14ac:dyDescent="0.3">
      <c r="A91" s="5" t="s">
        <v>20</v>
      </c>
      <c r="B91">
        <f>SUMIF(Table2[Product_Name],Table2[[#This Row],[Product_Name]],dataset!H:H)</f>
        <v>86</v>
      </c>
      <c r="D91">
        <f>COUNTIF(Table2[Product_Name],Table2[[#This Row],[Product_Name]])</f>
        <v>26</v>
      </c>
    </row>
    <row r="92" spans="1:4" x14ac:dyDescent="0.3">
      <c r="A92" s="5" t="s">
        <v>129</v>
      </c>
      <c r="B92">
        <f>SUMIF(Table2[Product_Name],Table2[[#This Row],[Product_Name]],dataset!H:H)</f>
        <v>43</v>
      </c>
      <c r="D92">
        <f>COUNTIF(Table2[Product_Name],Table2[[#This Row],[Product_Name]])</f>
        <v>15</v>
      </c>
    </row>
    <row r="93" spans="1:4" x14ac:dyDescent="0.3">
      <c r="A93" s="5" t="s">
        <v>129</v>
      </c>
      <c r="B93">
        <f>SUMIF(Table2[Product_Name],Table2[[#This Row],[Product_Name]],dataset!H:H)</f>
        <v>43</v>
      </c>
      <c r="D93">
        <f>COUNTIF(Table2[Product_Name],Table2[[#This Row],[Product_Name]])</f>
        <v>15</v>
      </c>
    </row>
    <row r="94" spans="1:4" x14ac:dyDescent="0.3">
      <c r="A94" s="5" t="s">
        <v>120</v>
      </c>
      <c r="B94">
        <f>SUMIF(Table2[Product_Name],Table2[[#This Row],[Product_Name]],dataset!H:H)</f>
        <v>99</v>
      </c>
      <c r="D94">
        <f>COUNTIF(Table2[Product_Name],Table2[[#This Row],[Product_Name]])</f>
        <v>34</v>
      </c>
    </row>
    <row r="95" spans="1:4" x14ac:dyDescent="0.3">
      <c r="A95" s="5" t="s">
        <v>64</v>
      </c>
      <c r="B95">
        <f>SUMIF(Table2[Product_Name],Table2[[#This Row],[Product_Name]],dataset!H:H)</f>
        <v>67</v>
      </c>
      <c r="D95">
        <f>COUNTIF(Table2[Product_Name],Table2[[#This Row],[Product_Name]])</f>
        <v>24</v>
      </c>
    </row>
    <row r="96" spans="1:4" x14ac:dyDescent="0.3">
      <c r="A96" s="5" t="s">
        <v>55</v>
      </c>
      <c r="B96">
        <f>SUMIF(Table2[Product_Name],Table2[[#This Row],[Product_Name]],dataset!H:H)</f>
        <v>48</v>
      </c>
      <c r="D96">
        <f>COUNTIF(Table2[Product_Name],Table2[[#This Row],[Product_Name]])</f>
        <v>16</v>
      </c>
    </row>
    <row r="97" spans="1:4" x14ac:dyDescent="0.3">
      <c r="A97" s="5" t="s">
        <v>47</v>
      </c>
      <c r="B97">
        <f>SUMIF(Table2[Product_Name],Table2[[#This Row],[Product_Name]],dataset!H:H)</f>
        <v>108</v>
      </c>
      <c r="D97">
        <f>COUNTIF(Table2[Product_Name],Table2[[#This Row],[Product_Name]])</f>
        <v>35</v>
      </c>
    </row>
    <row r="98" spans="1:4" x14ac:dyDescent="0.3">
      <c r="A98" s="5" t="s">
        <v>117</v>
      </c>
      <c r="B98">
        <f>SUMIF(Table2[Product_Name],Table2[[#This Row],[Product_Name]],dataset!H:H)</f>
        <v>50</v>
      </c>
      <c r="D98">
        <f>COUNTIF(Table2[Product_Name],Table2[[#This Row],[Product_Name]])</f>
        <v>14</v>
      </c>
    </row>
    <row r="99" spans="1:4" x14ac:dyDescent="0.3">
      <c r="A99" s="5" t="s">
        <v>20</v>
      </c>
      <c r="B99">
        <f>SUMIF(Table2[Product_Name],Table2[[#This Row],[Product_Name]],dataset!H:H)</f>
        <v>86</v>
      </c>
      <c r="D99">
        <f>COUNTIF(Table2[Product_Name],Table2[[#This Row],[Product_Name]])</f>
        <v>26</v>
      </c>
    </row>
    <row r="100" spans="1:4" x14ac:dyDescent="0.3">
      <c r="A100" s="5" t="s">
        <v>83</v>
      </c>
      <c r="B100">
        <f>SUMIF(Table2[Product_Name],Table2[[#This Row],[Product_Name]],dataset!H:H)</f>
        <v>84</v>
      </c>
      <c r="D100">
        <f>COUNTIF(Table2[Product_Name],Table2[[#This Row],[Product_Name]])</f>
        <v>31</v>
      </c>
    </row>
    <row r="101" spans="1:4" x14ac:dyDescent="0.3">
      <c r="A101" s="5" t="s">
        <v>55</v>
      </c>
      <c r="B101">
        <f>SUMIF(Table2[Product_Name],Table2[[#This Row],[Product_Name]],dataset!H:H)</f>
        <v>48</v>
      </c>
      <c r="D101">
        <f>COUNTIF(Table2[Product_Name],Table2[[#This Row],[Product_Name]])</f>
        <v>16</v>
      </c>
    </row>
    <row r="102" spans="1:4" x14ac:dyDescent="0.3">
      <c r="A102" s="5" t="s">
        <v>83</v>
      </c>
      <c r="B102">
        <f>SUMIF(Table2[Product_Name],Table2[[#This Row],[Product_Name]],dataset!H:H)</f>
        <v>84</v>
      </c>
      <c r="D102">
        <f>COUNTIF(Table2[Product_Name],Table2[[#This Row],[Product_Name]])</f>
        <v>31</v>
      </c>
    </row>
    <row r="103" spans="1:4" x14ac:dyDescent="0.3">
      <c r="A103" s="5" t="s">
        <v>20</v>
      </c>
      <c r="B103">
        <f>SUMIF(Table2[Product_Name],Table2[[#This Row],[Product_Name]],dataset!H:H)</f>
        <v>86</v>
      </c>
      <c r="D103">
        <f>COUNTIF(Table2[Product_Name],Table2[[#This Row],[Product_Name]])</f>
        <v>26</v>
      </c>
    </row>
    <row r="104" spans="1:4" x14ac:dyDescent="0.3">
      <c r="A104" s="5" t="s">
        <v>20</v>
      </c>
      <c r="B104">
        <f>SUMIF(Table2[Product_Name],Table2[[#This Row],[Product_Name]],dataset!H:H)</f>
        <v>86</v>
      </c>
      <c r="D104">
        <f>COUNTIF(Table2[Product_Name],Table2[[#This Row],[Product_Name]])</f>
        <v>26</v>
      </c>
    </row>
    <row r="105" spans="1:4" x14ac:dyDescent="0.3">
      <c r="A105" s="5" t="s">
        <v>83</v>
      </c>
      <c r="B105">
        <f>SUMIF(Table2[Product_Name],Table2[[#This Row],[Product_Name]],dataset!H:H)</f>
        <v>84</v>
      </c>
      <c r="D105">
        <f>COUNTIF(Table2[Product_Name],Table2[[#This Row],[Product_Name]])</f>
        <v>31</v>
      </c>
    </row>
    <row r="106" spans="1:4" x14ac:dyDescent="0.3">
      <c r="A106" s="5" t="s">
        <v>34</v>
      </c>
      <c r="B106">
        <f>SUMIF(Table2[Product_Name],Table2[[#This Row],[Product_Name]],dataset!H:H)</f>
        <v>98</v>
      </c>
      <c r="D106">
        <f>COUNTIF(Table2[Product_Name],Table2[[#This Row],[Product_Name]])</f>
        <v>29</v>
      </c>
    </row>
    <row r="107" spans="1:4" x14ac:dyDescent="0.3">
      <c r="A107" s="5" t="s">
        <v>34</v>
      </c>
      <c r="B107">
        <f>SUMIF(Table2[Product_Name],Table2[[#This Row],[Product_Name]],dataset!H:H)</f>
        <v>98</v>
      </c>
      <c r="D107">
        <f>COUNTIF(Table2[Product_Name],Table2[[#This Row],[Product_Name]])</f>
        <v>29</v>
      </c>
    </row>
    <row r="108" spans="1:4" x14ac:dyDescent="0.3">
      <c r="A108" s="5" t="s">
        <v>117</v>
      </c>
      <c r="B108">
        <f>SUMIF(Table2[Product_Name],Table2[[#This Row],[Product_Name]],dataset!H:H)</f>
        <v>50</v>
      </c>
      <c r="D108">
        <f>COUNTIF(Table2[Product_Name],Table2[[#This Row],[Product_Name]])</f>
        <v>14</v>
      </c>
    </row>
    <row r="109" spans="1:4" x14ac:dyDescent="0.3">
      <c r="A109" s="5" t="s">
        <v>117</v>
      </c>
      <c r="B109">
        <f>SUMIF(Table2[Product_Name],Table2[[#This Row],[Product_Name]],dataset!H:H)</f>
        <v>50</v>
      </c>
      <c r="D109">
        <f>COUNTIF(Table2[Product_Name],Table2[[#This Row],[Product_Name]])</f>
        <v>14</v>
      </c>
    </row>
    <row r="110" spans="1:4" x14ac:dyDescent="0.3">
      <c r="A110" s="5" t="s">
        <v>108</v>
      </c>
      <c r="B110">
        <f>SUMIF(Table2[Product_Name],Table2[[#This Row],[Product_Name]],dataset!H:H)</f>
        <v>67</v>
      </c>
      <c r="D110">
        <f>COUNTIF(Table2[Product_Name],Table2[[#This Row],[Product_Name]])</f>
        <v>26</v>
      </c>
    </row>
    <row r="111" spans="1:4" x14ac:dyDescent="0.3">
      <c r="A111" s="5" t="s">
        <v>120</v>
      </c>
      <c r="B111">
        <f>SUMIF(Table2[Product_Name],Table2[[#This Row],[Product_Name]],dataset!H:H)</f>
        <v>99</v>
      </c>
      <c r="D111">
        <f>COUNTIF(Table2[Product_Name],Table2[[#This Row],[Product_Name]])</f>
        <v>34</v>
      </c>
    </row>
    <row r="112" spans="1:4" x14ac:dyDescent="0.3">
      <c r="A112" s="5" t="s">
        <v>55</v>
      </c>
      <c r="B112">
        <f>SUMIF(Table2[Product_Name],Table2[[#This Row],[Product_Name]],dataset!H:H)</f>
        <v>48</v>
      </c>
      <c r="D112">
        <f>COUNTIF(Table2[Product_Name],Table2[[#This Row],[Product_Name]])</f>
        <v>16</v>
      </c>
    </row>
    <row r="113" spans="1:4" x14ac:dyDescent="0.3">
      <c r="A113" s="5" t="s">
        <v>20</v>
      </c>
      <c r="B113">
        <f>SUMIF(Table2[Product_Name],Table2[[#This Row],[Product_Name]],dataset!H:H)</f>
        <v>86</v>
      </c>
      <c r="D113">
        <f>COUNTIF(Table2[Product_Name],Table2[[#This Row],[Product_Name]])</f>
        <v>26</v>
      </c>
    </row>
    <row r="114" spans="1:4" x14ac:dyDescent="0.3">
      <c r="A114" s="5" t="s">
        <v>129</v>
      </c>
      <c r="B114">
        <f>SUMIF(Table2[Product_Name],Table2[[#This Row],[Product_Name]],dataset!H:H)</f>
        <v>43</v>
      </c>
      <c r="D114">
        <f>COUNTIF(Table2[Product_Name],Table2[[#This Row],[Product_Name]])</f>
        <v>15</v>
      </c>
    </row>
    <row r="115" spans="1:4" x14ac:dyDescent="0.3">
      <c r="A115" s="5" t="s">
        <v>120</v>
      </c>
      <c r="B115">
        <f>SUMIF(Table2[Product_Name],Table2[[#This Row],[Product_Name]],dataset!H:H)</f>
        <v>99</v>
      </c>
      <c r="D115">
        <f>COUNTIF(Table2[Product_Name],Table2[[#This Row],[Product_Name]])</f>
        <v>34</v>
      </c>
    </row>
    <row r="116" spans="1:4" x14ac:dyDescent="0.3">
      <c r="A116" s="5" t="s">
        <v>55</v>
      </c>
      <c r="B116">
        <f>SUMIF(Table2[Product_Name],Table2[[#This Row],[Product_Name]],dataset!H:H)</f>
        <v>48</v>
      </c>
      <c r="D116">
        <f>COUNTIF(Table2[Product_Name],Table2[[#This Row],[Product_Name]])</f>
        <v>16</v>
      </c>
    </row>
    <row r="117" spans="1:4" x14ac:dyDescent="0.3">
      <c r="A117" s="5" t="s">
        <v>83</v>
      </c>
      <c r="B117">
        <f>SUMIF(Table2[Product_Name],Table2[[#This Row],[Product_Name]],dataset!H:H)</f>
        <v>84</v>
      </c>
      <c r="D117">
        <f>COUNTIF(Table2[Product_Name],Table2[[#This Row],[Product_Name]])</f>
        <v>31</v>
      </c>
    </row>
    <row r="118" spans="1:4" x14ac:dyDescent="0.3">
      <c r="A118" s="5" t="s">
        <v>64</v>
      </c>
      <c r="B118">
        <f>SUMIF(Table2[Product_Name],Table2[[#This Row],[Product_Name]],dataset!H:H)</f>
        <v>67</v>
      </c>
      <c r="D118">
        <f>COUNTIF(Table2[Product_Name],Table2[[#This Row],[Product_Name]])</f>
        <v>24</v>
      </c>
    </row>
    <row r="119" spans="1:4" x14ac:dyDescent="0.3">
      <c r="A119" s="5" t="s">
        <v>47</v>
      </c>
      <c r="B119">
        <f>SUMIF(Table2[Product_Name],Table2[[#This Row],[Product_Name]],dataset!H:H)</f>
        <v>108</v>
      </c>
      <c r="D119">
        <f>COUNTIF(Table2[Product_Name],Table2[[#This Row],[Product_Name]])</f>
        <v>35</v>
      </c>
    </row>
    <row r="120" spans="1:4" x14ac:dyDescent="0.3">
      <c r="A120" s="5" t="s">
        <v>108</v>
      </c>
      <c r="B120">
        <f>SUMIF(Table2[Product_Name],Table2[[#This Row],[Product_Name]],dataset!H:H)</f>
        <v>67</v>
      </c>
      <c r="D120">
        <f>COUNTIF(Table2[Product_Name],Table2[[#This Row],[Product_Name]])</f>
        <v>26</v>
      </c>
    </row>
    <row r="121" spans="1:4" x14ac:dyDescent="0.3">
      <c r="A121" s="5" t="s">
        <v>129</v>
      </c>
      <c r="B121">
        <f>SUMIF(Table2[Product_Name],Table2[[#This Row],[Product_Name]],dataset!H:H)</f>
        <v>43</v>
      </c>
      <c r="D121">
        <f>COUNTIF(Table2[Product_Name],Table2[[#This Row],[Product_Name]])</f>
        <v>15</v>
      </c>
    </row>
    <row r="122" spans="1:4" x14ac:dyDescent="0.3">
      <c r="A122" s="5" t="s">
        <v>108</v>
      </c>
      <c r="B122">
        <f>SUMIF(Table2[Product_Name],Table2[[#This Row],[Product_Name]],dataset!H:H)</f>
        <v>67</v>
      </c>
      <c r="D122">
        <f>COUNTIF(Table2[Product_Name],Table2[[#This Row],[Product_Name]])</f>
        <v>26</v>
      </c>
    </row>
    <row r="123" spans="1:4" x14ac:dyDescent="0.3">
      <c r="A123" s="5" t="s">
        <v>34</v>
      </c>
      <c r="B123">
        <f>SUMIF(Table2[Product_Name],Table2[[#This Row],[Product_Name]],dataset!H:H)</f>
        <v>98</v>
      </c>
      <c r="D123">
        <f>COUNTIF(Table2[Product_Name],Table2[[#This Row],[Product_Name]])</f>
        <v>29</v>
      </c>
    </row>
    <row r="124" spans="1:4" x14ac:dyDescent="0.3">
      <c r="A124" s="5" t="s">
        <v>55</v>
      </c>
      <c r="B124">
        <f>SUMIF(Table2[Product_Name],Table2[[#This Row],[Product_Name]],dataset!H:H)</f>
        <v>48</v>
      </c>
      <c r="D124">
        <f>COUNTIF(Table2[Product_Name],Table2[[#This Row],[Product_Name]])</f>
        <v>16</v>
      </c>
    </row>
    <row r="125" spans="1:4" x14ac:dyDescent="0.3">
      <c r="A125" s="5" t="s">
        <v>83</v>
      </c>
      <c r="B125">
        <f>SUMIF(Table2[Product_Name],Table2[[#This Row],[Product_Name]],dataset!H:H)</f>
        <v>84</v>
      </c>
      <c r="D125">
        <f>COUNTIF(Table2[Product_Name],Table2[[#This Row],[Product_Name]])</f>
        <v>31</v>
      </c>
    </row>
    <row r="126" spans="1:4" x14ac:dyDescent="0.3">
      <c r="A126" s="5" t="s">
        <v>47</v>
      </c>
      <c r="B126">
        <f>SUMIF(Table2[Product_Name],Table2[[#This Row],[Product_Name]],dataset!H:H)</f>
        <v>108</v>
      </c>
      <c r="D126">
        <f>COUNTIF(Table2[Product_Name],Table2[[#This Row],[Product_Name]])</f>
        <v>35</v>
      </c>
    </row>
    <row r="127" spans="1:4" x14ac:dyDescent="0.3">
      <c r="A127" s="5" t="s">
        <v>108</v>
      </c>
      <c r="B127">
        <f>SUMIF(Table2[Product_Name],Table2[[#This Row],[Product_Name]],dataset!H:H)</f>
        <v>67</v>
      </c>
      <c r="D127">
        <f>COUNTIF(Table2[Product_Name],Table2[[#This Row],[Product_Name]])</f>
        <v>26</v>
      </c>
    </row>
    <row r="128" spans="1:4" x14ac:dyDescent="0.3">
      <c r="A128" s="5" t="s">
        <v>64</v>
      </c>
      <c r="B128">
        <f>SUMIF(Table2[Product_Name],Table2[[#This Row],[Product_Name]],dataset!H:H)</f>
        <v>67</v>
      </c>
      <c r="D128">
        <f>COUNTIF(Table2[Product_Name],Table2[[#This Row],[Product_Name]])</f>
        <v>24</v>
      </c>
    </row>
    <row r="129" spans="1:4" x14ac:dyDescent="0.3">
      <c r="A129" s="5" t="s">
        <v>83</v>
      </c>
      <c r="B129">
        <f>SUMIF(Table2[Product_Name],Table2[[#This Row],[Product_Name]],dataset!H:H)</f>
        <v>84</v>
      </c>
      <c r="D129">
        <f>COUNTIF(Table2[Product_Name],Table2[[#This Row],[Product_Name]])</f>
        <v>31</v>
      </c>
    </row>
    <row r="130" spans="1:4" x14ac:dyDescent="0.3">
      <c r="A130" s="5" t="s">
        <v>83</v>
      </c>
      <c r="B130">
        <f>SUMIF(Table2[Product_Name],Table2[[#This Row],[Product_Name]],dataset!H:H)</f>
        <v>84</v>
      </c>
      <c r="D130">
        <f>COUNTIF(Table2[Product_Name],Table2[[#This Row],[Product_Name]])</f>
        <v>31</v>
      </c>
    </row>
    <row r="131" spans="1:4" x14ac:dyDescent="0.3">
      <c r="A131" s="5" t="s">
        <v>64</v>
      </c>
      <c r="B131">
        <f>SUMIF(Table2[Product_Name],Table2[[#This Row],[Product_Name]],dataset!H:H)</f>
        <v>67</v>
      </c>
      <c r="D131">
        <f>COUNTIF(Table2[Product_Name],Table2[[#This Row],[Product_Name]])</f>
        <v>24</v>
      </c>
    </row>
    <row r="132" spans="1:4" x14ac:dyDescent="0.3">
      <c r="A132" s="5" t="s">
        <v>55</v>
      </c>
      <c r="B132">
        <f>SUMIF(Table2[Product_Name],Table2[[#This Row],[Product_Name]],dataset!H:H)</f>
        <v>48</v>
      </c>
      <c r="D132">
        <f>COUNTIF(Table2[Product_Name],Table2[[#This Row],[Product_Name]])</f>
        <v>16</v>
      </c>
    </row>
    <row r="133" spans="1:4" x14ac:dyDescent="0.3">
      <c r="A133" s="5" t="s">
        <v>120</v>
      </c>
      <c r="B133">
        <f>SUMIF(Table2[Product_Name],Table2[[#This Row],[Product_Name]],dataset!H:H)</f>
        <v>99</v>
      </c>
      <c r="D133">
        <f>COUNTIF(Table2[Product_Name],Table2[[#This Row],[Product_Name]])</f>
        <v>34</v>
      </c>
    </row>
    <row r="134" spans="1:4" x14ac:dyDescent="0.3">
      <c r="A134" s="5" t="s">
        <v>55</v>
      </c>
      <c r="B134">
        <f>SUMIF(Table2[Product_Name],Table2[[#This Row],[Product_Name]],dataset!H:H)</f>
        <v>48</v>
      </c>
      <c r="D134">
        <f>COUNTIF(Table2[Product_Name],Table2[[#This Row],[Product_Name]])</f>
        <v>16</v>
      </c>
    </row>
    <row r="135" spans="1:4" x14ac:dyDescent="0.3">
      <c r="A135" s="5" t="s">
        <v>83</v>
      </c>
      <c r="B135">
        <f>SUMIF(Table2[Product_Name],Table2[[#This Row],[Product_Name]],dataset!H:H)</f>
        <v>84</v>
      </c>
      <c r="D135">
        <f>COUNTIF(Table2[Product_Name],Table2[[#This Row],[Product_Name]])</f>
        <v>31</v>
      </c>
    </row>
    <row r="136" spans="1:4" x14ac:dyDescent="0.3">
      <c r="A136" s="5" t="s">
        <v>83</v>
      </c>
      <c r="B136">
        <f>SUMIF(Table2[Product_Name],Table2[[#This Row],[Product_Name]],dataset!H:H)</f>
        <v>84</v>
      </c>
      <c r="D136">
        <f>COUNTIF(Table2[Product_Name],Table2[[#This Row],[Product_Name]])</f>
        <v>31</v>
      </c>
    </row>
    <row r="137" spans="1:4" x14ac:dyDescent="0.3">
      <c r="A137" s="5" t="s">
        <v>120</v>
      </c>
      <c r="B137">
        <f>SUMIF(Table2[Product_Name],Table2[[#This Row],[Product_Name]],dataset!H:H)</f>
        <v>99</v>
      </c>
      <c r="D137">
        <f>COUNTIF(Table2[Product_Name],Table2[[#This Row],[Product_Name]])</f>
        <v>34</v>
      </c>
    </row>
    <row r="138" spans="1:4" x14ac:dyDescent="0.3">
      <c r="A138" s="5" t="s">
        <v>20</v>
      </c>
      <c r="B138">
        <f>SUMIF(Table2[Product_Name],Table2[[#This Row],[Product_Name]],dataset!H:H)</f>
        <v>86</v>
      </c>
      <c r="D138">
        <f>COUNTIF(Table2[Product_Name],Table2[[#This Row],[Product_Name]])</f>
        <v>26</v>
      </c>
    </row>
    <row r="139" spans="1:4" x14ac:dyDescent="0.3">
      <c r="A139" s="5" t="s">
        <v>108</v>
      </c>
      <c r="B139">
        <f>SUMIF(Table2[Product_Name],Table2[[#This Row],[Product_Name]],dataset!H:H)</f>
        <v>67</v>
      </c>
      <c r="D139">
        <f>COUNTIF(Table2[Product_Name],Table2[[#This Row],[Product_Name]])</f>
        <v>26</v>
      </c>
    </row>
    <row r="140" spans="1:4" x14ac:dyDescent="0.3">
      <c r="A140" s="5" t="s">
        <v>120</v>
      </c>
      <c r="B140">
        <f>SUMIF(Table2[Product_Name],Table2[[#This Row],[Product_Name]],dataset!H:H)</f>
        <v>99</v>
      </c>
      <c r="D140">
        <f>COUNTIF(Table2[Product_Name],Table2[[#This Row],[Product_Name]])</f>
        <v>34</v>
      </c>
    </row>
    <row r="141" spans="1:4" x14ac:dyDescent="0.3">
      <c r="A141" s="5" t="s">
        <v>47</v>
      </c>
      <c r="B141">
        <f>SUMIF(Table2[Product_Name],Table2[[#This Row],[Product_Name]],dataset!H:H)</f>
        <v>108</v>
      </c>
      <c r="D141">
        <f>COUNTIF(Table2[Product_Name],Table2[[#This Row],[Product_Name]])</f>
        <v>35</v>
      </c>
    </row>
    <row r="142" spans="1:4" x14ac:dyDescent="0.3">
      <c r="A142" s="5" t="s">
        <v>20</v>
      </c>
      <c r="B142">
        <f>SUMIF(Table2[Product_Name],Table2[[#This Row],[Product_Name]],dataset!H:H)</f>
        <v>86</v>
      </c>
      <c r="D142">
        <f>COUNTIF(Table2[Product_Name],Table2[[#This Row],[Product_Name]])</f>
        <v>26</v>
      </c>
    </row>
    <row r="143" spans="1:4" x14ac:dyDescent="0.3">
      <c r="A143" s="5" t="s">
        <v>55</v>
      </c>
      <c r="B143">
        <f>SUMIF(Table2[Product_Name],Table2[[#This Row],[Product_Name]],dataset!H:H)</f>
        <v>48</v>
      </c>
      <c r="D143">
        <f>COUNTIF(Table2[Product_Name],Table2[[#This Row],[Product_Name]])</f>
        <v>16</v>
      </c>
    </row>
    <row r="144" spans="1:4" x14ac:dyDescent="0.3">
      <c r="A144" s="5" t="s">
        <v>34</v>
      </c>
      <c r="B144">
        <f>SUMIF(Table2[Product_Name],Table2[[#This Row],[Product_Name]],dataset!H:H)</f>
        <v>98</v>
      </c>
      <c r="D144">
        <f>COUNTIF(Table2[Product_Name],Table2[[#This Row],[Product_Name]])</f>
        <v>29</v>
      </c>
    </row>
    <row r="145" spans="1:4" x14ac:dyDescent="0.3">
      <c r="A145" s="5" t="s">
        <v>20</v>
      </c>
      <c r="B145">
        <f>SUMIF(Table2[Product_Name],Table2[[#This Row],[Product_Name]],dataset!H:H)</f>
        <v>86</v>
      </c>
      <c r="D145">
        <f>COUNTIF(Table2[Product_Name],Table2[[#This Row],[Product_Name]])</f>
        <v>26</v>
      </c>
    </row>
    <row r="146" spans="1:4" x14ac:dyDescent="0.3">
      <c r="A146" s="5" t="s">
        <v>47</v>
      </c>
      <c r="B146">
        <f>SUMIF(Table2[Product_Name],Table2[[#This Row],[Product_Name]],dataset!H:H)</f>
        <v>108</v>
      </c>
      <c r="D146">
        <f>COUNTIF(Table2[Product_Name],Table2[[#This Row],[Product_Name]])</f>
        <v>35</v>
      </c>
    </row>
    <row r="147" spans="1:4" x14ac:dyDescent="0.3">
      <c r="A147" s="5" t="s">
        <v>34</v>
      </c>
      <c r="B147">
        <f>SUMIF(Table2[Product_Name],Table2[[#This Row],[Product_Name]],dataset!H:H)</f>
        <v>98</v>
      </c>
      <c r="D147">
        <f>COUNTIF(Table2[Product_Name],Table2[[#This Row],[Product_Name]])</f>
        <v>29</v>
      </c>
    </row>
    <row r="148" spans="1:4" x14ac:dyDescent="0.3">
      <c r="A148" s="5" t="s">
        <v>47</v>
      </c>
      <c r="B148">
        <f>SUMIF(Table2[Product_Name],Table2[[#This Row],[Product_Name]],dataset!H:H)</f>
        <v>108</v>
      </c>
      <c r="D148">
        <f>COUNTIF(Table2[Product_Name],Table2[[#This Row],[Product_Name]])</f>
        <v>35</v>
      </c>
    </row>
    <row r="149" spans="1:4" x14ac:dyDescent="0.3">
      <c r="A149" s="5" t="s">
        <v>83</v>
      </c>
      <c r="B149">
        <f>SUMIF(Table2[Product_Name],Table2[[#This Row],[Product_Name]],dataset!H:H)</f>
        <v>84</v>
      </c>
      <c r="D149">
        <f>COUNTIF(Table2[Product_Name],Table2[[#This Row],[Product_Name]])</f>
        <v>31</v>
      </c>
    </row>
    <row r="150" spans="1:4" x14ac:dyDescent="0.3">
      <c r="A150" s="5" t="s">
        <v>129</v>
      </c>
      <c r="B150">
        <f>SUMIF(Table2[Product_Name],Table2[[#This Row],[Product_Name]],dataset!H:H)</f>
        <v>43</v>
      </c>
      <c r="D150">
        <f>COUNTIF(Table2[Product_Name],Table2[[#This Row],[Product_Name]])</f>
        <v>15</v>
      </c>
    </row>
    <row r="151" spans="1:4" x14ac:dyDescent="0.3">
      <c r="A151" s="5" t="s">
        <v>34</v>
      </c>
      <c r="B151">
        <f>SUMIF(Table2[Product_Name],Table2[[#This Row],[Product_Name]],dataset!H:H)</f>
        <v>98</v>
      </c>
      <c r="D151">
        <f>COUNTIF(Table2[Product_Name],Table2[[#This Row],[Product_Name]])</f>
        <v>29</v>
      </c>
    </row>
    <row r="152" spans="1:4" x14ac:dyDescent="0.3">
      <c r="A152" s="5" t="s">
        <v>83</v>
      </c>
      <c r="B152">
        <f>SUMIF(Table2[Product_Name],Table2[[#This Row],[Product_Name]],dataset!H:H)</f>
        <v>84</v>
      </c>
      <c r="D152">
        <f>COUNTIF(Table2[Product_Name],Table2[[#This Row],[Product_Name]])</f>
        <v>31</v>
      </c>
    </row>
    <row r="153" spans="1:4" x14ac:dyDescent="0.3">
      <c r="A153" s="5" t="s">
        <v>20</v>
      </c>
      <c r="B153">
        <f>SUMIF(Table2[Product_Name],Table2[[#This Row],[Product_Name]],dataset!H:H)</f>
        <v>86</v>
      </c>
      <c r="D153">
        <f>COUNTIF(Table2[Product_Name],Table2[[#This Row],[Product_Name]])</f>
        <v>26</v>
      </c>
    </row>
    <row r="154" spans="1:4" x14ac:dyDescent="0.3">
      <c r="A154" s="5" t="s">
        <v>47</v>
      </c>
      <c r="B154">
        <f>SUMIF(Table2[Product_Name],Table2[[#This Row],[Product_Name]],dataset!H:H)</f>
        <v>108</v>
      </c>
      <c r="D154">
        <f>COUNTIF(Table2[Product_Name],Table2[[#This Row],[Product_Name]])</f>
        <v>35</v>
      </c>
    </row>
    <row r="155" spans="1:4" x14ac:dyDescent="0.3">
      <c r="A155" s="5" t="s">
        <v>108</v>
      </c>
      <c r="B155">
        <f>SUMIF(Table2[Product_Name],Table2[[#This Row],[Product_Name]],dataset!H:H)</f>
        <v>67</v>
      </c>
      <c r="D155">
        <f>COUNTIF(Table2[Product_Name],Table2[[#This Row],[Product_Name]])</f>
        <v>26</v>
      </c>
    </row>
    <row r="156" spans="1:4" x14ac:dyDescent="0.3">
      <c r="A156" s="5" t="s">
        <v>20</v>
      </c>
      <c r="B156">
        <f>SUMIF(Table2[Product_Name],Table2[[#This Row],[Product_Name]],dataset!H:H)</f>
        <v>86</v>
      </c>
      <c r="D156">
        <f>COUNTIF(Table2[Product_Name],Table2[[#This Row],[Product_Name]])</f>
        <v>26</v>
      </c>
    </row>
    <row r="157" spans="1:4" x14ac:dyDescent="0.3">
      <c r="A157" s="5" t="s">
        <v>55</v>
      </c>
      <c r="B157">
        <f>SUMIF(Table2[Product_Name],Table2[[#This Row],[Product_Name]],dataset!H:H)</f>
        <v>48</v>
      </c>
      <c r="D157">
        <f>COUNTIF(Table2[Product_Name],Table2[[#This Row],[Product_Name]])</f>
        <v>16</v>
      </c>
    </row>
    <row r="158" spans="1:4" x14ac:dyDescent="0.3">
      <c r="A158" s="5" t="s">
        <v>83</v>
      </c>
      <c r="B158">
        <f>SUMIF(Table2[Product_Name],Table2[[#This Row],[Product_Name]],dataset!H:H)</f>
        <v>84</v>
      </c>
      <c r="D158">
        <f>COUNTIF(Table2[Product_Name],Table2[[#This Row],[Product_Name]])</f>
        <v>31</v>
      </c>
    </row>
    <row r="159" spans="1:4" x14ac:dyDescent="0.3">
      <c r="A159" s="5" t="s">
        <v>20</v>
      </c>
      <c r="B159">
        <f>SUMIF(Table2[Product_Name],Table2[[#This Row],[Product_Name]],dataset!H:H)</f>
        <v>86</v>
      </c>
      <c r="D159">
        <f>COUNTIF(Table2[Product_Name],Table2[[#This Row],[Product_Name]])</f>
        <v>26</v>
      </c>
    </row>
    <row r="160" spans="1:4" x14ac:dyDescent="0.3">
      <c r="A160" s="5" t="s">
        <v>83</v>
      </c>
      <c r="B160">
        <f>SUMIF(Table2[Product_Name],Table2[[#This Row],[Product_Name]],dataset!H:H)</f>
        <v>84</v>
      </c>
      <c r="D160">
        <f>COUNTIF(Table2[Product_Name],Table2[[#This Row],[Product_Name]])</f>
        <v>31</v>
      </c>
    </row>
    <row r="161" spans="1:4" x14ac:dyDescent="0.3">
      <c r="A161" s="5" t="s">
        <v>20</v>
      </c>
      <c r="B161">
        <f>SUMIF(Table2[Product_Name],Table2[[#This Row],[Product_Name]],dataset!H:H)</f>
        <v>86</v>
      </c>
      <c r="D161">
        <f>COUNTIF(Table2[Product_Name],Table2[[#This Row],[Product_Name]])</f>
        <v>26</v>
      </c>
    </row>
    <row r="162" spans="1:4" x14ac:dyDescent="0.3">
      <c r="A162" s="5" t="s">
        <v>34</v>
      </c>
      <c r="B162">
        <f>SUMIF(Table2[Product_Name],Table2[[#This Row],[Product_Name]],dataset!H:H)</f>
        <v>98</v>
      </c>
      <c r="D162">
        <f>COUNTIF(Table2[Product_Name],Table2[[#This Row],[Product_Name]])</f>
        <v>29</v>
      </c>
    </row>
    <row r="163" spans="1:4" x14ac:dyDescent="0.3">
      <c r="A163" s="5" t="s">
        <v>117</v>
      </c>
      <c r="B163">
        <f>SUMIF(Table2[Product_Name],Table2[[#This Row],[Product_Name]],dataset!H:H)</f>
        <v>50</v>
      </c>
      <c r="D163">
        <f>COUNTIF(Table2[Product_Name],Table2[[#This Row],[Product_Name]])</f>
        <v>14</v>
      </c>
    </row>
    <row r="164" spans="1:4" x14ac:dyDescent="0.3">
      <c r="A164" s="5" t="s">
        <v>117</v>
      </c>
      <c r="B164">
        <f>SUMIF(Table2[Product_Name],Table2[[#This Row],[Product_Name]],dataset!H:H)</f>
        <v>50</v>
      </c>
      <c r="D164">
        <f>COUNTIF(Table2[Product_Name],Table2[[#This Row],[Product_Name]])</f>
        <v>14</v>
      </c>
    </row>
    <row r="165" spans="1:4" x14ac:dyDescent="0.3">
      <c r="A165" s="5" t="s">
        <v>64</v>
      </c>
      <c r="B165">
        <f>SUMIF(Table2[Product_Name],Table2[[#This Row],[Product_Name]],dataset!H:H)</f>
        <v>67</v>
      </c>
      <c r="D165">
        <f>COUNTIF(Table2[Product_Name],Table2[[#This Row],[Product_Name]])</f>
        <v>24</v>
      </c>
    </row>
    <row r="166" spans="1:4" x14ac:dyDescent="0.3">
      <c r="A166" s="5" t="s">
        <v>47</v>
      </c>
      <c r="B166">
        <f>SUMIF(Table2[Product_Name],Table2[[#This Row],[Product_Name]],dataset!H:H)</f>
        <v>108</v>
      </c>
      <c r="D166">
        <f>COUNTIF(Table2[Product_Name],Table2[[#This Row],[Product_Name]])</f>
        <v>35</v>
      </c>
    </row>
    <row r="167" spans="1:4" x14ac:dyDescent="0.3">
      <c r="A167" s="5" t="s">
        <v>108</v>
      </c>
      <c r="B167">
        <f>SUMIF(Table2[Product_Name],Table2[[#This Row],[Product_Name]],dataset!H:H)</f>
        <v>67</v>
      </c>
      <c r="D167">
        <f>COUNTIF(Table2[Product_Name],Table2[[#This Row],[Product_Name]])</f>
        <v>26</v>
      </c>
    </row>
    <row r="168" spans="1:4" x14ac:dyDescent="0.3">
      <c r="A168" s="5" t="s">
        <v>34</v>
      </c>
      <c r="B168">
        <f>SUMIF(Table2[Product_Name],Table2[[#This Row],[Product_Name]],dataset!H:H)</f>
        <v>98</v>
      </c>
      <c r="D168">
        <f>COUNTIF(Table2[Product_Name],Table2[[#This Row],[Product_Name]])</f>
        <v>29</v>
      </c>
    </row>
    <row r="169" spans="1:4" x14ac:dyDescent="0.3">
      <c r="A169" s="5" t="s">
        <v>120</v>
      </c>
      <c r="B169">
        <f>SUMIF(Table2[Product_Name],Table2[[#This Row],[Product_Name]],dataset!H:H)</f>
        <v>99</v>
      </c>
      <c r="D169">
        <f>COUNTIF(Table2[Product_Name],Table2[[#This Row],[Product_Name]])</f>
        <v>34</v>
      </c>
    </row>
    <row r="170" spans="1:4" x14ac:dyDescent="0.3">
      <c r="A170" s="5" t="s">
        <v>64</v>
      </c>
      <c r="B170">
        <f>SUMIF(Table2[Product_Name],Table2[[#This Row],[Product_Name]],dataset!H:H)</f>
        <v>67</v>
      </c>
      <c r="D170">
        <f>COUNTIF(Table2[Product_Name],Table2[[#This Row],[Product_Name]])</f>
        <v>24</v>
      </c>
    </row>
    <row r="171" spans="1:4" x14ac:dyDescent="0.3">
      <c r="A171" s="5" t="s">
        <v>47</v>
      </c>
      <c r="B171">
        <f>SUMIF(Table2[Product_Name],Table2[[#This Row],[Product_Name]],dataset!H:H)</f>
        <v>108</v>
      </c>
      <c r="D171">
        <f>COUNTIF(Table2[Product_Name],Table2[[#This Row],[Product_Name]])</f>
        <v>35</v>
      </c>
    </row>
    <row r="172" spans="1:4" x14ac:dyDescent="0.3">
      <c r="A172" s="5" t="s">
        <v>55</v>
      </c>
      <c r="B172">
        <f>SUMIF(Table2[Product_Name],Table2[[#This Row],[Product_Name]],dataset!H:H)</f>
        <v>48</v>
      </c>
      <c r="D172">
        <f>COUNTIF(Table2[Product_Name],Table2[[#This Row],[Product_Name]])</f>
        <v>16</v>
      </c>
    </row>
    <row r="173" spans="1:4" x14ac:dyDescent="0.3">
      <c r="A173" s="5" t="s">
        <v>47</v>
      </c>
      <c r="B173">
        <f>SUMIF(Table2[Product_Name],Table2[[#This Row],[Product_Name]],dataset!H:H)</f>
        <v>108</v>
      </c>
      <c r="D173">
        <f>COUNTIF(Table2[Product_Name],Table2[[#This Row],[Product_Name]])</f>
        <v>35</v>
      </c>
    </row>
    <row r="174" spans="1:4" x14ac:dyDescent="0.3">
      <c r="A174" s="5" t="s">
        <v>108</v>
      </c>
      <c r="B174">
        <f>SUMIF(Table2[Product_Name],Table2[[#This Row],[Product_Name]],dataset!H:H)</f>
        <v>67</v>
      </c>
      <c r="D174">
        <f>COUNTIF(Table2[Product_Name],Table2[[#This Row],[Product_Name]])</f>
        <v>26</v>
      </c>
    </row>
    <row r="175" spans="1:4" x14ac:dyDescent="0.3">
      <c r="A175" s="5" t="s">
        <v>108</v>
      </c>
      <c r="B175">
        <f>SUMIF(Table2[Product_Name],Table2[[#This Row],[Product_Name]],dataset!H:H)</f>
        <v>67</v>
      </c>
      <c r="D175">
        <f>COUNTIF(Table2[Product_Name],Table2[[#This Row],[Product_Name]])</f>
        <v>26</v>
      </c>
    </row>
    <row r="176" spans="1:4" x14ac:dyDescent="0.3">
      <c r="A176" s="5" t="s">
        <v>129</v>
      </c>
      <c r="B176">
        <f>SUMIF(Table2[Product_Name],Table2[[#This Row],[Product_Name]],dataset!H:H)</f>
        <v>43</v>
      </c>
      <c r="D176">
        <f>COUNTIF(Table2[Product_Name],Table2[[#This Row],[Product_Name]])</f>
        <v>15</v>
      </c>
    </row>
    <row r="177" spans="1:4" x14ac:dyDescent="0.3">
      <c r="A177" s="5" t="s">
        <v>120</v>
      </c>
      <c r="B177">
        <f>SUMIF(Table2[Product_Name],Table2[[#This Row],[Product_Name]],dataset!H:H)</f>
        <v>99</v>
      </c>
      <c r="D177">
        <f>COUNTIF(Table2[Product_Name],Table2[[#This Row],[Product_Name]])</f>
        <v>34</v>
      </c>
    </row>
    <row r="178" spans="1:4" x14ac:dyDescent="0.3">
      <c r="A178" s="5" t="s">
        <v>47</v>
      </c>
      <c r="B178">
        <f>SUMIF(Table2[Product_Name],Table2[[#This Row],[Product_Name]],dataset!H:H)</f>
        <v>108</v>
      </c>
      <c r="D178">
        <f>COUNTIF(Table2[Product_Name],Table2[[#This Row],[Product_Name]])</f>
        <v>35</v>
      </c>
    </row>
    <row r="179" spans="1:4" x14ac:dyDescent="0.3">
      <c r="A179" s="5" t="s">
        <v>64</v>
      </c>
      <c r="B179">
        <f>SUMIF(Table2[Product_Name],Table2[[#This Row],[Product_Name]],dataset!H:H)</f>
        <v>67</v>
      </c>
      <c r="D179">
        <f>COUNTIF(Table2[Product_Name],Table2[[#This Row],[Product_Name]])</f>
        <v>24</v>
      </c>
    </row>
    <row r="180" spans="1:4" x14ac:dyDescent="0.3">
      <c r="A180" s="5" t="s">
        <v>120</v>
      </c>
      <c r="B180">
        <f>SUMIF(Table2[Product_Name],Table2[[#This Row],[Product_Name]],dataset!H:H)</f>
        <v>99</v>
      </c>
      <c r="D180">
        <f>COUNTIF(Table2[Product_Name],Table2[[#This Row],[Product_Name]])</f>
        <v>34</v>
      </c>
    </row>
    <row r="181" spans="1:4" x14ac:dyDescent="0.3">
      <c r="A181" s="5" t="s">
        <v>64</v>
      </c>
      <c r="B181">
        <f>SUMIF(Table2[Product_Name],Table2[[#This Row],[Product_Name]],dataset!H:H)</f>
        <v>67</v>
      </c>
      <c r="D181">
        <f>COUNTIF(Table2[Product_Name],Table2[[#This Row],[Product_Name]])</f>
        <v>24</v>
      </c>
    </row>
    <row r="182" spans="1:4" x14ac:dyDescent="0.3">
      <c r="A182" s="5" t="s">
        <v>55</v>
      </c>
      <c r="B182">
        <f>SUMIF(Table2[Product_Name],Table2[[#This Row],[Product_Name]],dataset!H:H)</f>
        <v>48</v>
      </c>
      <c r="D182">
        <f>COUNTIF(Table2[Product_Name],Table2[[#This Row],[Product_Name]])</f>
        <v>16</v>
      </c>
    </row>
    <row r="183" spans="1:4" x14ac:dyDescent="0.3">
      <c r="A183" s="5" t="s">
        <v>108</v>
      </c>
      <c r="B183">
        <f>SUMIF(Table2[Product_Name],Table2[[#This Row],[Product_Name]],dataset!H:H)</f>
        <v>67</v>
      </c>
      <c r="D183">
        <f>COUNTIF(Table2[Product_Name],Table2[[#This Row],[Product_Name]])</f>
        <v>26</v>
      </c>
    </row>
    <row r="184" spans="1:4" x14ac:dyDescent="0.3">
      <c r="A184" s="5" t="s">
        <v>83</v>
      </c>
      <c r="B184">
        <f>SUMIF(Table2[Product_Name],Table2[[#This Row],[Product_Name]],dataset!H:H)</f>
        <v>84</v>
      </c>
      <c r="D184">
        <f>COUNTIF(Table2[Product_Name],Table2[[#This Row],[Product_Name]])</f>
        <v>31</v>
      </c>
    </row>
    <row r="185" spans="1:4" x14ac:dyDescent="0.3">
      <c r="A185" s="5" t="s">
        <v>129</v>
      </c>
      <c r="B185">
        <f>SUMIF(Table2[Product_Name],Table2[[#This Row],[Product_Name]],dataset!H:H)</f>
        <v>43</v>
      </c>
      <c r="D185">
        <f>COUNTIF(Table2[Product_Name],Table2[[#This Row],[Product_Name]])</f>
        <v>15</v>
      </c>
    </row>
    <row r="186" spans="1:4" x14ac:dyDescent="0.3">
      <c r="A186" s="5" t="s">
        <v>20</v>
      </c>
      <c r="B186">
        <f>SUMIF(Table2[Product_Name],Table2[[#This Row],[Product_Name]],dataset!H:H)</f>
        <v>86</v>
      </c>
      <c r="D186">
        <f>COUNTIF(Table2[Product_Name],Table2[[#This Row],[Product_Name]])</f>
        <v>26</v>
      </c>
    </row>
    <row r="187" spans="1:4" x14ac:dyDescent="0.3">
      <c r="A187" s="5" t="s">
        <v>55</v>
      </c>
      <c r="B187">
        <f>SUMIF(Table2[Product_Name],Table2[[#This Row],[Product_Name]],dataset!H:H)</f>
        <v>48</v>
      </c>
      <c r="D187">
        <f>COUNTIF(Table2[Product_Name],Table2[[#This Row],[Product_Name]])</f>
        <v>16</v>
      </c>
    </row>
    <row r="188" spans="1:4" x14ac:dyDescent="0.3">
      <c r="A188" s="5" t="s">
        <v>83</v>
      </c>
      <c r="B188">
        <f>SUMIF(Table2[Product_Name],Table2[[#This Row],[Product_Name]],dataset!H:H)</f>
        <v>84</v>
      </c>
      <c r="D188">
        <f>COUNTIF(Table2[Product_Name],Table2[[#This Row],[Product_Name]])</f>
        <v>31</v>
      </c>
    </row>
    <row r="189" spans="1:4" x14ac:dyDescent="0.3">
      <c r="A189" s="5" t="s">
        <v>117</v>
      </c>
      <c r="B189">
        <f>SUMIF(Table2[Product_Name],Table2[[#This Row],[Product_Name]],dataset!H:H)</f>
        <v>50</v>
      </c>
      <c r="D189">
        <f>COUNTIF(Table2[Product_Name],Table2[[#This Row],[Product_Name]])</f>
        <v>14</v>
      </c>
    </row>
    <row r="190" spans="1:4" x14ac:dyDescent="0.3">
      <c r="A190" s="5" t="s">
        <v>108</v>
      </c>
      <c r="B190">
        <f>SUMIF(Table2[Product_Name],Table2[[#This Row],[Product_Name]],dataset!H:H)</f>
        <v>67</v>
      </c>
      <c r="D190">
        <f>COUNTIF(Table2[Product_Name],Table2[[#This Row],[Product_Name]])</f>
        <v>26</v>
      </c>
    </row>
    <row r="191" spans="1:4" x14ac:dyDescent="0.3">
      <c r="A191" s="5" t="s">
        <v>20</v>
      </c>
      <c r="B191">
        <f>SUMIF(Table2[Product_Name],Table2[[#This Row],[Product_Name]],dataset!H:H)</f>
        <v>86</v>
      </c>
      <c r="D191">
        <f>COUNTIF(Table2[Product_Name],Table2[[#This Row],[Product_Name]])</f>
        <v>26</v>
      </c>
    </row>
    <row r="192" spans="1:4" x14ac:dyDescent="0.3">
      <c r="A192" s="5" t="s">
        <v>55</v>
      </c>
      <c r="B192">
        <f>SUMIF(Table2[Product_Name],Table2[[#This Row],[Product_Name]],dataset!H:H)</f>
        <v>48</v>
      </c>
      <c r="D192">
        <f>COUNTIF(Table2[Product_Name],Table2[[#This Row],[Product_Name]])</f>
        <v>16</v>
      </c>
    </row>
    <row r="193" spans="1:4" x14ac:dyDescent="0.3">
      <c r="A193" s="5" t="s">
        <v>108</v>
      </c>
      <c r="B193">
        <f>SUMIF(Table2[Product_Name],Table2[[#This Row],[Product_Name]],dataset!H:H)</f>
        <v>67</v>
      </c>
      <c r="D193">
        <f>COUNTIF(Table2[Product_Name],Table2[[#This Row],[Product_Name]])</f>
        <v>26</v>
      </c>
    </row>
    <row r="194" spans="1:4" x14ac:dyDescent="0.3">
      <c r="A194" s="5" t="s">
        <v>129</v>
      </c>
      <c r="B194">
        <f>SUMIF(Table2[Product_Name],Table2[[#This Row],[Product_Name]],dataset!H:H)</f>
        <v>43</v>
      </c>
      <c r="D194">
        <f>COUNTIF(Table2[Product_Name],Table2[[#This Row],[Product_Name]])</f>
        <v>15</v>
      </c>
    </row>
    <row r="195" spans="1:4" x14ac:dyDescent="0.3">
      <c r="A195" s="5" t="s">
        <v>108</v>
      </c>
      <c r="B195">
        <f>SUMIF(Table2[Product_Name],Table2[[#This Row],[Product_Name]],dataset!H:H)</f>
        <v>67</v>
      </c>
      <c r="D195">
        <f>COUNTIF(Table2[Product_Name],Table2[[#This Row],[Product_Name]])</f>
        <v>26</v>
      </c>
    </row>
    <row r="196" spans="1:4" x14ac:dyDescent="0.3">
      <c r="A196" s="5" t="s">
        <v>47</v>
      </c>
      <c r="B196">
        <f>SUMIF(Table2[Product_Name],Table2[[#This Row],[Product_Name]],dataset!H:H)</f>
        <v>108</v>
      </c>
      <c r="D196">
        <f>COUNTIF(Table2[Product_Name],Table2[[#This Row],[Product_Name]])</f>
        <v>35</v>
      </c>
    </row>
    <row r="197" spans="1:4" x14ac:dyDescent="0.3">
      <c r="A197" s="5" t="s">
        <v>34</v>
      </c>
      <c r="B197">
        <f>SUMIF(Table2[Product_Name],Table2[[#This Row],[Product_Name]],dataset!H:H)</f>
        <v>98</v>
      </c>
      <c r="D197">
        <f>COUNTIF(Table2[Product_Name],Table2[[#This Row],[Product_Name]])</f>
        <v>29</v>
      </c>
    </row>
    <row r="198" spans="1:4" x14ac:dyDescent="0.3">
      <c r="A198" s="5" t="s">
        <v>34</v>
      </c>
      <c r="B198">
        <f>SUMIF(Table2[Product_Name],Table2[[#This Row],[Product_Name]],dataset!H:H)</f>
        <v>98</v>
      </c>
      <c r="D198">
        <f>COUNTIF(Table2[Product_Name],Table2[[#This Row],[Product_Name]])</f>
        <v>29</v>
      </c>
    </row>
    <row r="199" spans="1:4" x14ac:dyDescent="0.3">
      <c r="A199" s="5" t="s">
        <v>20</v>
      </c>
      <c r="B199">
        <f>SUMIF(Table2[Product_Name],Table2[[#This Row],[Product_Name]],dataset!H:H)</f>
        <v>86</v>
      </c>
      <c r="D199">
        <f>COUNTIF(Table2[Product_Name],Table2[[#This Row],[Product_Name]])</f>
        <v>26</v>
      </c>
    </row>
    <row r="200" spans="1:4" x14ac:dyDescent="0.3">
      <c r="A200" s="5" t="s">
        <v>64</v>
      </c>
      <c r="B200">
        <f>SUMIF(Table2[Product_Name],Table2[[#This Row],[Product_Name]],dataset!H:H)</f>
        <v>67</v>
      </c>
      <c r="D200">
        <f>COUNTIF(Table2[Product_Name],Table2[[#This Row],[Product_Name]])</f>
        <v>24</v>
      </c>
    </row>
    <row r="201" spans="1:4" x14ac:dyDescent="0.3">
      <c r="A201" s="5" t="s">
        <v>108</v>
      </c>
      <c r="B201">
        <f>SUMIF(Table2[Product_Name],Table2[[#This Row],[Product_Name]],dataset!H:H)</f>
        <v>67</v>
      </c>
      <c r="D201">
        <f>COUNTIF(Table2[Product_Name],Table2[[#This Row],[Product_Name]])</f>
        <v>26</v>
      </c>
    </row>
    <row r="202" spans="1:4" x14ac:dyDescent="0.3">
      <c r="A202" s="5" t="s">
        <v>83</v>
      </c>
      <c r="B202">
        <f>SUMIF(Table2[Product_Name],Table2[[#This Row],[Product_Name]],dataset!H:H)</f>
        <v>84</v>
      </c>
      <c r="D202">
        <f>COUNTIF(Table2[Product_Name],Table2[[#This Row],[Product_Name]])</f>
        <v>31</v>
      </c>
    </row>
    <row r="203" spans="1:4" x14ac:dyDescent="0.3">
      <c r="A203" s="5" t="s">
        <v>83</v>
      </c>
      <c r="B203">
        <f>SUMIF(Table2[Product_Name],Table2[[#This Row],[Product_Name]],dataset!H:H)</f>
        <v>84</v>
      </c>
      <c r="D203">
        <f>COUNTIF(Table2[Product_Name],Table2[[#This Row],[Product_Name]])</f>
        <v>31</v>
      </c>
    </row>
    <row r="204" spans="1:4" x14ac:dyDescent="0.3">
      <c r="A204" s="5" t="s">
        <v>120</v>
      </c>
      <c r="B204">
        <f>SUMIF(Table2[Product_Name],Table2[[#This Row],[Product_Name]],dataset!H:H)</f>
        <v>99</v>
      </c>
      <c r="D204">
        <f>COUNTIF(Table2[Product_Name],Table2[[#This Row],[Product_Name]])</f>
        <v>34</v>
      </c>
    </row>
    <row r="205" spans="1:4" x14ac:dyDescent="0.3">
      <c r="A205" s="5" t="s">
        <v>120</v>
      </c>
      <c r="B205">
        <f>SUMIF(Table2[Product_Name],Table2[[#This Row],[Product_Name]],dataset!H:H)</f>
        <v>99</v>
      </c>
      <c r="D205">
        <f>COUNTIF(Table2[Product_Name],Table2[[#This Row],[Product_Name]])</f>
        <v>34</v>
      </c>
    </row>
    <row r="206" spans="1:4" x14ac:dyDescent="0.3">
      <c r="A206" s="5" t="s">
        <v>34</v>
      </c>
      <c r="B206">
        <f>SUMIF(Table2[Product_Name],Table2[[#This Row],[Product_Name]],dataset!H:H)</f>
        <v>98</v>
      </c>
      <c r="D206">
        <f>COUNTIF(Table2[Product_Name],Table2[[#This Row],[Product_Name]])</f>
        <v>29</v>
      </c>
    </row>
    <row r="207" spans="1:4" x14ac:dyDescent="0.3">
      <c r="A207" s="5" t="s">
        <v>47</v>
      </c>
      <c r="B207">
        <f>SUMIF(Table2[Product_Name],Table2[[#This Row],[Product_Name]],dataset!H:H)</f>
        <v>108</v>
      </c>
      <c r="D207">
        <f>COUNTIF(Table2[Product_Name],Table2[[#This Row],[Product_Name]])</f>
        <v>35</v>
      </c>
    </row>
    <row r="208" spans="1:4" x14ac:dyDescent="0.3">
      <c r="A208" s="5" t="s">
        <v>108</v>
      </c>
      <c r="B208">
        <f>SUMIF(Table2[Product_Name],Table2[[#This Row],[Product_Name]],dataset!H:H)</f>
        <v>67</v>
      </c>
      <c r="D208">
        <f>COUNTIF(Table2[Product_Name],Table2[[#This Row],[Product_Name]])</f>
        <v>26</v>
      </c>
    </row>
    <row r="209" spans="1:4" x14ac:dyDescent="0.3">
      <c r="A209" s="5" t="s">
        <v>34</v>
      </c>
      <c r="B209">
        <f>SUMIF(Table2[Product_Name],Table2[[#This Row],[Product_Name]],dataset!H:H)</f>
        <v>98</v>
      </c>
      <c r="D209">
        <f>COUNTIF(Table2[Product_Name],Table2[[#This Row],[Product_Name]])</f>
        <v>29</v>
      </c>
    </row>
    <row r="210" spans="1:4" x14ac:dyDescent="0.3">
      <c r="A210" s="5" t="s">
        <v>117</v>
      </c>
      <c r="B210">
        <f>SUMIF(Table2[Product_Name],Table2[[#This Row],[Product_Name]],dataset!H:H)</f>
        <v>50</v>
      </c>
      <c r="D210">
        <f>COUNTIF(Table2[Product_Name],Table2[[#This Row],[Product_Name]])</f>
        <v>14</v>
      </c>
    </row>
    <row r="211" spans="1:4" x14ac:dyDescent="0.3">
      <c r="A211" s="5" t="s">
        <v>129</v>
      </c>
      <c r="B211">
        <f>SUMIF(Table2[Product_Name],Table2[[#This Row],[Product_Name]],dataset!H:H)</f>
        <v>43</v>
      </c>
      <c r="D211">
        <f>COUNTIF(Table2[Product_Name],Table2[[#This Row],[Product_Name]])</f>
        <v>15</v>
      </c>
    </row>
    <row r="212" spans="1:4" x14ac:dyDescent="0.3">
      <c r="A212" s="5" t="s">
        <v>120</v>
      </c>
      <c r="B212">
        <f>SUMIF(Table2[Product_Name],Table2[[#This Row],[Product_Name]],dataset!H:H)</f>
        <v>99</v>
      </c>
      <c r="D212">
        <f>COUNTIF(Table2[Product_Name],Table2[[#This Row],[Product_Name]])</f>
        <v>34</v>
      </c>
    </row>
    <row r="213" spans="1:4" x14ac:dyDescent="0.3">
      <c r="A213" s="5" t="s">
        <v>47</v>
      </c>
      <c r="B213">
        <f>SUMIF(Table2[Product_Name],Table2[[#This Row],[Product_Name]],dataset!H:H)</f>
        <v>108</v>
      </c>
      <c r="D213">
        <f>COUNTIF(Table2[Product_Name],Table2[[#This Row],[Product_Name]])</f>
        <v>35</v>
      </c>
    </row>
    <row r="214" spans="1:4" x14ac:dyDescent="0.3">
      <c r="A214" s="5" t="s">
        <v>83</v>
      </c>
      <c r="B214">
        <f>SUMIF(Table2[Product_Name],Table2[[#This Row],[Product_Name]],dataset!H:H)</f>
        <v>84</v>
      </c>
      <c r="D214">
        <f>COUNTIF(Table2[Product_Name],Table2[[#This Row],[Product_Name]])</f>
        <v>31</v>
      </c>
    </row>
    <row r="215" spans="1:4" x14ac:dyDescent="0.3">
      <c r="A215" s="5" t="s">
        <v>47</v>
      </c>
      <c r="B215">
        <f>SUMIF(Table2[Product_Name],Table2[[#This Row],[Product_Name]],dataset!H:H)</f>
        <v>108</v>
      </c>
      <c r="D215">
        <f>COUNTIF(Table2[Product_Name],Table2[[#This Row],[Product_Name]])</f>
        <v>35</v>
      </c>
    </row>
    <row r="216" spans="1:4" x14ac:dyDescent="0.3">
      <c r="A216" s="5" t="s">
        <v>64</v>
      </c>
      <c r="B216">
        <f>SUMIF(Table2[Product_Name],Table2[[#This Row],[Product_Name]],dataset!H:H)</f>
        <v>67</v>
      </c>
      <c r="D216">
        <f>COUNTIF(Table2[Product_Name],Table2[[#This Row],[Product_Name]])</f>
        <v>24</v>
      </c>
    </row>
    <row r="217" spans="1:4" x14ac:dyDescent="0.3">
      <c r="A217" s="5" t="s">
        <v>129</v>
      </c>
      <c r="B217">
        <f>SUMIF(Table2[Product_Name],Table2[[#This Row],[Product_Name]],dataset!H:H)</f>
        <v>43</v>
      </c>
      <c r="D217">
        <f>COUNTIF(Table2[Product_Name],Table2[[#This Row],[Product_Name]])</f>
        <v>15</v>
      </c>
    </row>
    <row r="218" spans="1:4" x14ac:dyDescent="0.3">
      <c r="A218" s="5" t="s">
        <v>108</v>
      </c>
      <c r="B218">
        <f>SUMIF(Table2[Product_Name],Table2[[#This Row],[Product_Name]],dataset!H:H)</f>
        <v>67</v>
      </c>
      <c r="D218">
        <f>COUNTIF(Table2[Product_Name],Table2[[#This Row],[Product_Name]])</f>
        <v>26</v>
      </c>
    </row>
    <row r="219" spans="1:4" x14ac:dyDescent="0.3">
      <c r="A219" s="5" t="s">
        <v>83</v>
      </c>
      <c r="B219">
        <f>SUMIF(Table2[Product_Name],Table2[[#This Row],[Product_Name]],dataset!H:H)</f>
        <v>84</v>
      </c>
      <c r="D219">
        <f>COUNTIF(Table2[Product_Name],Table2[[#This Row],[Product_Name]])</f>
        <v>31</v>
      </c>
    </row>
    <row r="220" spans="1:4" x14ac:dyDescent="0.3">
      <c r="A220" s="5" t="s">
        <v>83</v>
      </c>
      <c r="B220">
        <f>SUMIF(Table2[Product_Name],Table2[[#This Row],[Product_Name]],dataset!H:H)</f>
        <v>84</v>
      </c>
      <c r="D220">
        <f>COUNTIF(Table2[Product_Name],Table2[[#This Row],[Product_Name]])</f>
        <v>31</v>
      </c>
    </row>
    <row r="221" spans="1:4" x14ac:dyDescent="0.3">
      <c r="A221" s="5" t="s">
        <v>47</v>
      </c>
      <c r="B221">
        <f>SUMIF(Table2[Product_Name],Table2[[#This Row],[Product_Name]],dataset!H:H)</f>
        <v>108</v>
      </c>
      <c r="D221">
        <f>COUNTIF(Table2[Product_Name],Table2[[#This Row],[Product_Name]])</f>
        <v>35</v>
      </c>
    </row>
    <row r="222" spans="1:4" x14ac:dyDescent="0.3">
      <c r="A222" s="5" t="s">
        <v>120</v>
      </c>
      <c r="B222">
        <f>SUMIF(Table2[Product_Name],Table2[[#This Row],[Product_Name]],dataset!H:H)</f>
        <v>99</v>
      </c>
      <c r="D222">
        <f>COUNTIF(Table2[Product_Name],Table2[[#This Row],[Product_Name]])</f>
        <v>34</v>
      </c>
    </row>
    <row r="223" spans="1:4" x14ac:dyDescent="0.3">
      <c r="A223" s="5" t="s">
        <v>129</v>
      </c>
      <c r="B223">
        <f>SUMIF(Table2[Product_Name],Table2[[#This Row],[Product_Name]],dataset!H:H)</f>
        <v>43</v>
      </c>
      <c r="D223">
        <f>COUNTIF(Table2[Product_Name],Table2[[#This Row],[Product_Name]])</f>
        <v>15</v>
      </c>
    </row>
    <row r="224" spans="1:4" x14ac:dyDescent="0.3">
      <c r="A224" s="5" t="s">
        <v>34</v>
      </c>
      <c r="B224">
        <f>SUMIF(Table2[Product_Name],Table2[[#This Row],[Product_Name]],dataset!H:H)</f>
        <v>98</v>
      </c>
      <c r="D224">
        <f>COUNTIF(Table2[Product_Name],Table2[[#This Row],[Product_Name]])</f>
        <v>29</v>
      </c>
    </row>
    <row r="225" spans="1:4" x14ac:dyDescent="0.3">
      <c r="A225" s="5" t="s">
        <v>108</v>
      </c>
      <c r="B225">
        <f>SUMIF(Table2[Product_Name],Table2[[#This Row],[Product_Name]],dataset!H:H)</f>
        <v>67</v>
      </c>
      <c r="D225">
        <f>COUNTIF(Table2[Product_Name],Table2[[#This Row],[Product_Name]])</f>
        <v>26</v>
      </c>
    </row>
    <row r="226" spans="1:4" x14ac:dyDescent="0.3">
      <c r="A226" s="5" t="s">
        <v>47</v>
      </c>
      <c r="B226">
        <f>SUMIF(Table2[Product_Name],Table2[[#This Row],[Product_Name]],dataset!H:H)</f>
        <v>108</v>
      </c>
      <c r="D226">
        <f>COUNTIF(Table2[Product_Name],Table2[[#This Row],[Product_Name]])</f>
        <v>35</v>
      </c>
    </row>
    <row r="227" spans="1:4" x14ac:dyDescent="0.3">
      <c r="A227" s="5" t="s">
        <v>83</v>
      </c>
      <c r="B227">
        <f>SUMIF(Table2[Product_Name],Table2[[#This Row],[Product_Name]],dataset!H:H)</f>
        <v>84</v>
      </c>
      <c r="D227">
        <f>COUNTIF(Table2[Product_Name],Table2[[#This Row],[Product_Name]])</f>
        <v>31</v>
      </c>
    </row>
    <row r="228" spans="1:4" x14ac:dyDescent="0.3">
      <c r="A228" s="5" t="s">
        <v>34</v>
      </c>
      <c r="B228">
        <f>SUMIF(Table2[Product_Name],Table2[[#This Row],[Product_Name]],dataset!H:H)</f>
        <v>98</v>
      </c>
      <c r="D228">
        <f>COUNTIF(Table2[Product_Name],Table2[[#This Row],[Product_Name]])</f>
        <v>29</v>
      </c>
    </row>
    <row r="229" spans="1:4" x14ac:dyDescent="0.3">
      <c r="A229" s="5" t="s">
        <v>120</v>
      </c>
      <c r="B229">
        <f>SUMIF(Table2[Product_Name],Table2[[#This Row],[Product_Name]],dataset!H:H)</f>
        <v>99</v>
      </c>
      <c r="D229">
        <f>COUNTIF(Table2[Product_Name],Table2[[#This Row],[Product_Name]])</f>
        <v>34</v>
      </c>
    </row>
    <row r="230" spans="1:4" x14ac:dyDescent="0.3">
      <c r="A230" s="5" t="s">
        <v>20</v>
      </c>
      <c r="B230">
        <f>SUMIF(Table2[Product_Name],Table2[[#This Row],[Product_Name]],dataset!H:H)</f>
        <v>86</v>
      </c>
      <c r="D230">
        <f>COUNTIF(Table2[Product_Name],Table2[[#This Row],[Product_Name]])</f>
        <v>26</v>
      </c>
    </row>
    <row r="231" spans="1:4" x14ac:dyDescent="0.3">
      <c r="A231" s="5" t="s">
        <v>47</v>
      </c>
      <c r="B231">
        <f>SUMIF(Table2[Product_Name],Table2[[#This Row],[Product_Name]],dataset!H:H)</f>
        <v>108</v>
      </c>
      <c r="D231">
        <f>COUNTIF(Table2[Product_Name],Table2[[#This Row],[Product_Name]])</f>
        <v>35</v>
      </c>
    </row>
    <row r="232" spans="1:4" x14ac:dyDescent="0.3">
      <c r="A232" s="5" t="s">
        <v>64</v>
      </c>
      <c r="B232">
        <f>SUMIF(Table2[Product_Name],Table2[[#This Row],[Product_Name]],dataset!H:H)</f>
        <v>67</v>
      </c>
      <c r="D232">
        <f>COUNTIF(Table2[Product_Name],Table2[[#This Row],[Product_Name]])</f>
        <v>24</v>
      </c>
    </row>
    <row r="233" spans="1:4" x14ac:dyDescent="0.3">
      <c r="A233" s="5" t="s">
        <v>47</v>
      </c>
      <c r="B233">
        <f>SUMIF(Table2[Product_Name],Table2[[#This Row],[Product_Name]],dataset!H:H)</f>
        <v>108</v>
      </c>
      <c r="D233">
        <f>COUNTIF(Table2[Product_Name],Table2[[#This Row],[Product_Name]])</f>
        <v>35</v>
      </c>
    </row>
    <row r="234" spans="1:4" x14ac:dyDescent="0.3">
      <c r="A234" s="5" t="s">
        <v>20</v>
      </c>
      <c r="B234">
        <f>SUMIF(Table2[Product_Name],Table2[[#This Row],[Product_Name]],dataset!H:H)</f>
        <v>86</v>
      </c>
      <c r="D234">
        <f>COUNTIF(Table2[Product_Name],Table2[[#This Row],[Product_Name]])</f>
        <v>26</v>
      </c>
    </row>
    <row r="235" spans="1:4" x14ac:dyDescent="0.3">
      <c r="A235" s="5" t="s">
        <v>34</v>
      </c>
      <c r="B235">
        <f>SUMIF(Table2[Product_Name],Table2[[#This Row],[Product_Name]],dataset!H:H)</f>
        <v>98</v>
      </c>
      <c r="D235">
        <f>COUNTIF(Table2[Product_Name],Table2[[#This Row],[Product_Name]])</f>
        <v>29</v>
      </c>
    </row>
    <row r="236" spans="1:4" x14ac:dyDescent="0.3">
      <c r="A236" s="5" t="s">
        <v>47</v>
      </c>
      <c r="B236">
        <f>SUMIF(Table2[Product_Name],Table2[[#This Row],[Product_Name]],dataset!H:H)</f>
        <v>108</v>
      </c>
      <c r="D236">
        <f>COUNTIF(Table2[Product_Name],Table2[[#This Row],[Product_Name]])</f>
        <v>35</v>
      </c>
    </row>
    <row r="237" spans="1:4" x14ac:dyDescent="0.3">
      <c r="A237" s="5" t="s">
        <v>64</v>
      </c>
      <c r="B237">
        <f>SUMIF(Table2[Product_Name],Table2[[#This Row],[Product_Name]],dataset!H:H)</f>
        <v>67</v>
      </c>
      <c r="D237">
        <f>COUNTIF(Table2[Product_Name],Table2[[#This Row],[Product_Name]])</f>
        <v>24</v>
      </c>
    </row>
    <row r="238" spans="1:4" x14ac:dyDescent="0.3">
      <c r="A238" s="5" t="s">
        <v>64</v>
      </c>
      <c r="B238">
        <f>SUMIF(Table2[Product_Name],Table2[[#This Row],[Product_Name]],dataset!H:H)</f>
        <v>67</v>
      </c>
      <c r="D238">
        <f>COUNTIF(Table2[Product_Name],Table2[[#This Row],[Product_Name]])</f>
        <v>24</v>
      </c>
    </row>
    <row r="239" spans="1:4" x14ac:dyDescent="0.3">
      <c r="A239" s="5" t="s">
        <v>108</v>
      </c>
      <c r="B239">
        <f>SUMIF(Table2[Product_Name],Table2[[#This Row],[Product_Name]],dataset!H:H)</f>
        <v>67</v>
      </c>
      <c r="D239">
        <f>COUNTIF(Table2[Product_Name],Table2[[#This Row],[Product_Name]])</f>
        <v>26</v>
      </c>
    </row>
    <row r="240" spans="1:4" x14ac:dyDescent="0.3">
      <c r="A240" s="5" t="s">
        <v>47</v>
      </c>
      <c r="B240">
        <f>SUMIF(Table2[Product_Name],Table2[[#This Row],[Product_Name]],dataset!H:H)</f>
        <v>108</v>
      </c>
      <c r="D240">
        <f>COUNTIF(Table2[Product_Name],Table2[[#This Row],[Product_Name]])</f>
        <v>35</v>
      </c>
    </row>
    <row r="241" spans="1:4" x14ac:dyDescent="0.3">
      <c r="A241" s="5" t="s">
        <v>117</v>
      </c>
      <c r="B241">
        <f>SUMIF(Table2[Product_Name],Table2[[#This Row],[Product_Name]],dataset!H:H)</f>
        <v>50</v>
      </c>
      <c r="D241">
        <f>COUNTIF(Table2[Product_Name],Table2[[#This Row],[Product_Name]])</f>
        <v>14</v>
      </c>
    </row>
    <row r="242" spans="1:4" x14ac:dyDescent="0.3">
      <c r="A242" s="5" t="s">
        <v>120</v>
      </c>
      <c r="B242">
        <f>SUMIF(Table2[Product_Name],Table2[[#This Row],[Product_Name]],dataset!H:H)</f>
        <v>99</v>
      </c>
      <c r="D242">
        <f>COUNTIF(Table2[Product_Name],Table2[[#This Row],[Product_Name]])</f>
        <v>34</v>
      </c>
    </row>
    <row r="243" spans="1:4" x14ac:dyDescent="0.3">
      <c r="A243" s="5" t="s">
        <v>47</v>
      </c>
      <c r="B243">
        <f>SUMIF(Table2[Product_Name],Table2[[#This Row],[Product_Name]],dataset!H:H)</f>
        <v>108</v>
      </c>
      <c r="D243">
        <f>COUNTIF(Table2[Product_Name],Table2[[#This Row],[Product_Name]])</f>
        <v>35</v>
      </c>
    </row>
    <row r="244" spans="1:4" x14ac:dyDescent="0.3">
      <c r="A244" s="5" t="s">
        <v>120</v>
      </c>
      <c r="B244">
        <f>SUMIF(Table2[Product_Name],Table2[[#This Row],[Product_Name]],dataset!H:H)</f>
        <v>99</v>
      </c>
      <c r="D244">
        <f>COUNTIF(Table2[Product_Name],Table2[[#This Row],[Product_Name]])</f>
        <v>34</v>
      </c>
    </row>
    <row r="245" spans="1:4" x14ac:dyDescent="0.3">
      <c r="A245" s="5" t="s">
        <v>83</v>
      </c>
      <c r="B245">
        <f>SUMIF(Table2[Product_Name],Table2[[#This Row],[Product_Name]],dataset!H:H)</f>
        <v>84</v>
      </c>
      <c r="D245">
        <f>COUNTIF(Table2[Product_Name],Table2[[#This Row],[Product_Name]])</f>
        <v>31</v>
      </c>
    </row>
    <row r="246" spans="1:4" x14ac:dyDescent="0.3">
      <c r="A246" s="5" t="s">
        <v>64</v>
      </c>
      <c r="B246">
        <f>SUMIF(Table2[Product_Name],Table2[[#This Row],[Product_Name]],dataset!H:H)</f>
        <v>67</v>
      </c>
      <c r="D246">
        <f>COUNTIF(Table2[Product_Name],Table2[[#This Row],[Product_Name]])</f>
        <v>24</v>
      </c>
    </row>
    <row r="247" spans="1:4" x14ac:dyDescent="0.3">
      <c r="A247" s="5" t="s">
        <v>117</v>
      </c>
      <c r="B247">
        <f>SUMIF(Table2[Product_Name],Table2[[#This Row],[Product_Name]],dataset!H:H)</f>
        <v>50</v>
      </c>
      <c r="D247">
        <f>COUNTIF(Table2[Product_Name],Table2[[#This Row],[Product_Name]])</f>
        <v>14</v>
      </c>
    </row>
    <row r="248" spans="1:4" x14ac:dyDescent="0.3">
      <c r="A248" s="5" t="s">
        <v>120</v>
      </c>
      <c r="B248">
        <f>SUMIF(Table2[Product_Name],Table2[[#This Row],[Product_Name]],dataset!H:H)</f>
        <v>99</v>
      </c>
      <c r="D248">
        <f>COUNTIF(Table2[Product_Name],Table2[[#This Row],[Product_Name]])</f>
        <v>34</v>
      </c>
    </row>
    <row r="249" spans="1:4" x14ac:dyDescent="0.3">
      <c r="A249" s="5" t="s">
        <v>83</v>
      </c>
      <c r="B249">
        <f>SUMIF(Table2[Product_Name],Table2[[#This Row],[Product_Name]],dataset!H:H)</f>
        <v>84</v>
      </c>
      <c r="D249">
        <f>COUNTIF(Table2[Product_Name],Table2[[#This Row],[Product_Name]])</f>
        <v>31</v>
      </c>
    </row>
    <row r="250" spans="1:4" x14ac:dyDescent="0.3">
      <c r="A250" s="5" t="s">
        <v>120</v>
      </c>
      <c r="B250">
        <f>SUMIF(Table2[Product_Name],Table2[[#This Row],[Product_Name]],dataset!H:H)</f>
        <v>99</v>
      </c>
      <c r="D250">
        <f>COUNTIF(Table2[Product_Name],Table2[[#This Row],[Product_Name]])</f>
        <v>34</v>
      </c>
    </row>
    <row r="251" spans="1:4" x14ac:dyDescent="0.3">
      <c r="A251" s="5" t="s">
        <v>120</v>
      </c>
      <c r="B251">
        <f>SUMIF(Table2[Product_Name],Table2[[#This Row],[Product_Name]],dataset!H:H)</f>
        <v>99</v>
      </c>
      <c r="D251">
        <f>COUNTIF(Table2[Product_Name],Table2[[#This Row],[Product_Name]])</f>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Instructions</vt:lpstr>
      <vt:lpstr>pivot_table</vt:lpstr>
      <vt:lpstr>filter</vt:lpstr>
      <vt:lpstr>dataset</vt:lpstr>
      <vt:lpstr>linear regression</vt:lpstr>
      <vt:lpstr>dashboard</vt:lpstr>
      <vt:lpstr>date_time</vt:lpstr>
      <vt:lpstr>what if analysis</vt:lpstr>
      <vt:lpstr>total quantity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anuj rasaily</cp:lastModifiedBy>
  <dcterms:created xsi:type="dcterms:W3CDTF">2026-02-27T05:09:04Z</dcterms:created>
  <dcterms:modified xsi:type="dcterms:W3CDTF">2026-03-01T19:46:42Z</dcterms:modified>
</cp:coreProperties>
</file>